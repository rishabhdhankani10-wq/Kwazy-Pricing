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oa" sheetId="2" state="visible" r:id="rId4"/>
    <sheet name="Lonavala-Mahabaleshwar" sheetId="3" state="visible" r:id="rId5"/>
    <sheet name="Mussorie" sheetId="4" state="visible" r:id="rId6"/>
    <sheet name="ho chi minh" sheetId="5" state="visible" r:id="rId7"/>
    <sheet name="Hanoi" sheetId="6" state="visible" r:id="rId8"/>
    <sheet name="Shimla" sheetId="7" state="visible" r:id="rId9"/>
    <sheet name="Jaipur-Udaipur" sheetId="8" state="visible" r:id="rId10"/>
    <sheet name="Manali-Mussoorie" sheetId="9" state="visible" r:id="rId11"/>
    <sheet name="Dubai" sheetId="10" state="visible" r:id="rId12"/>
    <sheet name="Tokyo" sheetId="11" state="visible" r:id="rId13"/>
    <sheet name="Bengaluru (metro)" sheetId="12" state="visible" r:id="rId14"/>
  </sheets>
  <definedNames>
    <definedName function="false" hidden="true" localSheetId="11" name="_xlnm._FilterDatabase" vbProcedure="false">'Bengaluru (metro)'!$A$1:$T$1</definedName>
    <definedName function="false" hidden="true" localSheetId="9" name="_xlnm._FilterDatabase" vbProcedure="false">Dubai!$A$1:$T$34</definedName>
    <definedName function="false" hidden="true" localSheetId="1" name="_xlnm._FilterDatabase" vbProcedure="false">Goa!$A$1:$T$144</definedName>
    <definedName function="false" hidden="true" localSheetId="5" name="_xlnm._FilterDatabase" vbProcedure="false">Hanoi!$A$1:$T$48</definedName>
    <definedName function="false" hidden="true" localSheetId="4" name="_xlnm._FilterDatabase" vbProcedure="false">'ho chi minh'!$A$1:$T$82</definedName>
    <definedName function="false" hidden="true" localSheetId="7" name="_xlnm._FilterDatabase" vbProcedure="false">'Jaipur-Udaipur'!$A$1:$T$51</definedName>
    <definedName function="false" hidden="true" localSheetId="2" name="_xlnm._FilterDatabase" vbProcedure="false">'Lonavala-Mahabaleshwar'!$A$1:$T$107</definedName>
    <definedName function="false" hidden="true" localSheetId="8" name="_xlnm._FilterDatabase" vbProcedure="false">'Manali-Mussoorie'!$A$1:$T$45</definedName>
    <definedName function="false" hidden="true" localSheetId="3" name="_xlnm._FilterDatabase" vbProcedure="false">Mussorie!$A$1:$T$98</definedName>
    <definedName function="false" hidden="true" localSheetId="6" name="_xlnm._FilterDatabase" vbProcedure="false">Shimla!$A$1:$T$64</definedName>
    <definedName function="false" hidden="true" localSheetId="10" name="_xlnm._FilterDatabase" vbProcedure="false">Tokyo!$A$1:$T$16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<sst xmlns="http://schemas.openxmlformats.org/spreadsheetml/2006/main" count="3415" uniqueCount="275">
  <si>
    <t xml:space="preserve">Kwazy — Rove Watch data</t>
  </si>
  <si>
    <t xml:space="preserve">Exported from backup 2026-08-13 · USD rate 95 · markup uses GST 2.0 slabs, ITC only when purchase AND sale are above 7,500/night</t>
  </si>
  <si>
    <t xml:space="preserve">City</t>
  </si>
  <si>
    <t xml:space="preserve">Properties</t>
  </si>
  <si>
    <t xml:space="preserve">Priced rows</t>
  </si>
  <si>
    <t xml:space="preserve">Median markup</t>
  </si>
  <si>
    <t xml:space="preserve">Mean markup</t>
  </si>
  <si>
    <t xml:space="preserve">Median agent</t>
  </si>
  <si>
    <t xml:space="preserve">Below cost</t>
  </si>
  <si>
    <t xml:space="preserve">Goa</t>
  </si>
  <si>
    <t xml:space="preserve">Lonavala/Mahabaleshwar</t>
  </si>
  <si>
    <t xml:space="preserve">Mussorie</t>
  </si>
  <si>
    <t xml:space="preserve">ho chi minh</t>
  </si>
  <si>
    <t xml:space="preserve">Hanoi</t>
  </si>
  <si>
    <t xml:space="preserve">Shimla</t>
  </si>
  <si>
    <t xml:space="preserve">Jaipur/Udaipur</t>
  </si>
  <si>
    <t xml:space="preserve">Manali/Mussoorie</t>
  </si>
  <si>
    <t xml:space="preserve">Dubai</t>
  </si>
  <si>
    <t xml:space="preserve">Tokyo</t>
  </si>
  <si>
    <t xml:space="preserve">Bengaluru (metro)</t>
  </si>
  <si>
    <t xml:space="preserve">ALL CITIES</t>
  </si>
  <si>
    <t xml:space="preserve">Property</t>
  </si>
  <si>
    <t xml:space="preserve">Season slot</t>
  </si>
  <si>
    <t xml:space="preserve">Check-in</t>
  </si>
  <si>
    <t xml:space="preserve">Check-out</t>
  </si>
  <si>
    <t xml:space="preserve">Nights</t>
  </si>
  <si>
    <t xml:space="preserve">TBO (stay)</t>
  </si>
  <si>
    <t xml:space="preserve">MMT (stay)</t>
  </si>
  <si>
    <t xml:space="preserve">Goibibo (stay)</t>
  </si>
  <si>
    <t xml:space="preserve">Booking (stay)</t>
  </si>
  <si>
    <t xml:space="preserve">Agoda (stay)</t>
  </si>
  <si>
    <t xml:space="preserve">Rove ($)</t>
  </si>
  <si>
    <t xml:space="preserve">Return %</t>
  </si>
  <si>
    <t xml:space="preserve">TBO / night</t>
  </si>
  <si>
    <t xml:space="preserve">Cheapest OTA / night</t>
  </si>
  <si>
    <t xml:space="preserve">Rove / night (INR)</t>
  </si>
  <si>
    <t xml:space="preserve">Markup %</t>
  </si>
  <si>
    <t xml:space="preserve">Agent %</t>
  </si>
  <si>
    <t xml:space="preserve">Rove mk %</t>
  </si>
  <si>
    <t xml:space="preserve">Flag</t>
  </si>
  <si>
    <t xml:space="preserve"> Beleza By The Beach</t>
  </si>
  <si>
    <t xml:space="preserve">~7d · mid-Jul</t>
  </si>
  <si>
    <t xml:space="preserve">2026-08-13</t>
  </si>
  <si>
    <t xml:space="preserve">2026-08-16</t>
  </si>
  <si>
    <t xml:space="preserve">~30d · mid-Aug</t>
  </si>
  <si>
    <t xml:space="preserve">2026-08-28</t>
  </si>
  <si>
    <t xml:space="preserve">2026-08-31</t>
  </si>
  <si>
    <t xml:space="preserve">mid-Oct · Diwali</t>
  </si>
  <si>
    <t xml:space="preserve">2026-11-12</t>
  </si>
  <si>
    <t xml:space="preserve">2026-11-15</t>
  </si>
  <si>
    <t xml:space="preserve">27–30 Dec</t>
  </si>
  <si>
    <t xml:space="preserve">2026-12-29</t>
  </si>
  <si>
    <t xml:space="preserve">2027-01-01</t>
  </si>
  <si>
    <t xml:space="preserve"> Fairfield by Marriott Goa Benaulim</t>
  </si>
  <si>
    <t xml:space="preserve">mid-Feb</t>
  </si>
  <si>
    <t xml:space="preserve">2027-02-11</t>
  </si>
  <si>
    <t xml:space="preserve">2027-02-14</t>
  </si>
  <si>
    <t xml:space="preserve"> Jasminn Hotel, Goa</t>
  </si>
  <si>
    <t xml:space="preserve"> Novotel Goa Dona Sylvia Resort</t>
  </si>
  <si>
    <t xml:space="preserve"> Taj Fort Aguada Resort &amp; Spa, Goa</t>
  </si>
  <si>
    <t xml:space="preserve">- Holiday Inn Resort</t>
  </si>
  <si>
    <t xml:space="preserve">- Hyatt Centric Candolim Goa</t>
  </si>
  <si>
    <t xml:space="preserve">- ITC Grand Goa - A Luxury Collection Resort</t>
  </si>
  <si>
    <t xml:space="preserve">2027-01-31</t>
  </si>
  <si>
    <t xml:space="preserve">- Le Meridien Goa, Calangute</t>
  </si>
  <si>
    <t xml:space="preserve">- Marquis Beach Resort</t>
  </si>
  <si>
    <t xml:space="preserve">- Ocean Palms Resort and Spa, Goa</t>
  </si>
  <si>
    <t xml:space="preserve">- Planet Hollywood Beach Resort</t>
  </si>
  <si>
    <t xml:space="preserve">- Radisson Blu Cavelossim Beach</t>
  </si>
  <si>
    <t xml:space="preserve">- Royal Orchid Beach Resort &amp; Spa</t>
  </si>
  <si>
    <t xml:space="preserve">- Somy Plaza, Calangute a luxurious escape</t>
  </si>
  <si>
    <t xml:space="preserve">- Taj Holiday Village Resort &amp; Spa, Goa</t>
  </si>
  <si>
    <t xml:space="preserve">- The Fern Habitat, Candolim, Goa, Series by Marriott</t>
  </si>
  <si>
    <t xml:space="preserve">- The Zuri White Sands Goa Resort and Casino</t>
  </si>
  <si>
    <t xml:space="preserve">- Vivanta Goa, Panaji</t>
  </si>
  <si>
    <t xml:space="preserve">- ibis Styles Goa Vagator - An Accor Brand</t>
  </si>
  <si>
    <t xml:space="preserve">Ginger Goa, Candolim</t>
  </si>
  <si>
    <t xml:space="preserve">Hyatt Centric Goa </t>
  </si>
  <si>
    <t xml:space="preserve">Lemon Tree Hotel,Candolim</t>
  </si>
  <si>
    <t xml:space="preserve">Novotel Goa Candolim Hotel</t>
  </si>
  <si>
    <t xml:space="preserve">Ocean Palms Resort and Spa, Goa</t>
  </si>
  <si>
    <t xml:space="preserve">Ramada BY Wyndham Goa Arpora</t>
  </si>
  <si>
    <t xml:space="preserve">Sobit Sarovar Portico</t>
  </si>
  <si>
    <t xml:space="preserve">TreeHouse Blue Hotel &amp; Serviced Apartments</t>
  </si>
  <si>
    <t xml:space="preserve">Varanda Do Mar</t>
  </si>
  <si>
    <t xml:space="preserve">ZIVA SUITES, a Boutique Hotel</t>
  </si>
  <si>
    <t xml:space="preserve">Blue cells are inputs (edit these). Grey/black columns are formulas and recalculate automatically. USD converted at 1 USD = 95.0 INR.</t>
  </si>
  <si>
    <t xml:space="preserve">- 7 Apple Resort, Lonavala</t>
  </si>
  <si>
    <t xml:space="preserve">2026-08-14</t>
  </si>
  <si>
    <t xml:space="preserve">2026-08-30</t>
  </si>
  <si>
    <t xml:space="preserve">2026-09-05</t>
  </si>
  <si>
    <t xml:space="preserve">2026-09-06</t>
  </si>
  <si>
    <t xml:space="preserve">2026-09-12</t>
  </si>
  <si>
    <t xml:space="preserve">2026-09-13</t>
  </si>
  <si>
    <t xml:space="preserve">- Arova Woods Zinc Journey by The Fern, Lonavala</t>
  </si>
  <si>
    <t xml:space="preserve">2026-08-21</t>
  </si>
  <si>
    <t xml:space="preserve">2026-08-23</t>
  </si>
  <si>
    <t xml:space="preserve">- Athiva Resort &amp; Spa Khandala (Formerly Dukes Retreat)</t>
  </si>
  <si>
    <t xml:space="preserve">- Blue Country Resort, Panchgani</t>
  </si>
  <si>
    <t xml:space="preserve">2026-08-27</t>
  </si>
  <si>
    <t xml:space="preserve">2026-09-11</t>
  </si>
  <si>
    <t xml:space="preserve">- Brightland Resort &amp; Spa</t>
  </si>
  <si>
    <t xml:space="preserve">2026-09-04</t>
  </si>
  <si>
    <t xml:space="preserve">2026-09-24</t>
  </si>
  <si>
    <t xml:space="preserve">2026-09-27</t>
  </si>
  <si>
    <t xml:space="preserve">- Chambers Mahabaleshwar – A Club Mahindra Associate Resort</t>
  </si>
  <si>
    <t xml:space="preserve">- Courtyard by Marriott Mahabaleshwar</t>
  </si>
  <si>
    <t xml:space="preserve">- Enrise by Sayaji Lonavala</t>
  </si>
  <si>
    <t xml:space="preserve">- Fariyas Resort</t>
  </si>
  <si>
    <t xml:space="preserve">- Hotel Dreamland</t>
  </si>
  <si>
    <t xml:space="preserve">- Juvana Resort &amp; Spa</t>
  </si>
  <si>
    <t xml:space="preserve">- Le Méridien Mahabaleshwar Resort &amp; Spa</t>
  </si>
  <si>
    <t xml:space="preserve">- Orchid Hotel, Panchgani</t>
  </si>
  <si>
    <t xml:space="preserve">- Radisson Resort &amp; Spa Lonavala</t>
  </si>
  <si>
    <t xml:space="preserve">- Ramsukh Resorts &amp; Spa, Old Mahabaleshwar</t>
  </si>
  <si>
    <t xml:space="preserve">- Ravine Hotel, Panchgani</t>
  </si>
  <si>
    <t xml:space="preserve">- Regenta Place Green Leaf, Mahabaleshwar</t>
  </si>
  <si>
    <t xml:space="preserve">- Sterling Stolen Heaven Lonavala</t>
  </si>
  <si>
    <t xml:space="preserve">- The Fern An Ecotel Hotel, Lonavala</t>
  </si>
  <si>
    <t xml:space="preserve">- The Keys Hotel Mahabaleshwar &amp; Spa</t>
  </si>
  <si>
    <t xml:space="preserve">- The Lagoona Resort (An Eco Friendly Hotel)</t>
  </si>
  <si>
    <t xml:space="preserve">- The Orchid Lonavala</t>
  </si>
  <si>
    <t xml:space="preserve">- Upper Deck Resort Highest Peak, Lonavala</t>
  </si>
  <si>
    <t xml:space="preserve">- Valley View Beacon Resort, Mahabaleshwar</t>
  </si>
  <si>
    <t xml:space="preserve">Aamby Valley City - Spanish Cottage</t>
  </si>
  <si>
    <t xml:space="preserve">Della Resorts</t>
  </si>
  <si>
    <t xml:space="preserve">- Fairfield by Marriott Dehradun</t>
  </si>
  <si>
    <t xml:space="preserve">2026-10-08</t>
  </si>
  <si>
    <t xml:space="preserve">2026-10-11</t>
  </si>
  <si>
    <t xml:space="preserve">2026-12-30</t>
  </si>
  <si>
    <t xml:space="preserve">2027-01-02</t>
  </si>
  <si>
    <t xml:space="preserve">- Fortune Resort Grace, Mussoorie - Member ITC Hotels' Group</t>
  </si>
  <si>
    <t xml:space="preserve">- Hyatt Centric Rajpur Road Dehradun</t>
  </si>
  <si>
    <t xml:space="preserve">- Jaypee Residency Manor</t>
  </si>
  <si>
    <t xml:space="preserve">- Lemon Tree Hotel Dehradun</t>
  </si>
  <si>
    <t xml:space="preserve">- Ramada By Wyndham Mussoorie Mall Road</t>
  </si>
  <si>
    <t xml:space="preserve">- Saffron Leaf Dehradun</t>
  </si>
  <si>
    <t xml:space="preserve">- Sterling GK Exotica</t>
  </si>
  <si>
    <t xml:space="preserve">- Taj Mussoorie Foothills, Dehradun</t>
  </si>
  <si>
    <t xml:space="preserve">- The Fern Brentwood Resort Mussoorie, Series by Marriott</t>
  </si>
  <si>
    <t xml:space="preserve">- WelcomHeritage Kasmanda Palace Mussoorie</t>
  </si>
  <si>
    <t xml:space="preserve">- juSTa Hollow Oak Mussoorie</t>
  </si>
  <si>
    <t xml:space="preserve">Auradoon, Dehradun - By Leisure Hotels</t>
  </si>
  <si>
    <t xml:space="preserve">Hyatt Regency Dehradun Resort and Spa</t>
  </si>
  <si>
    <t xml:space="preserve">JW Marriott Mussoorie Walnut Grove Resort &amp; Spa</t>
  </si>
  <si>
    <t xml:space="preserve">2026-11-09</t>
  </si>
  <si>
    <t xml:space="preserve">LP Vilas Dehradun</t>
  </si>
  <si>
    <t xml:space="preserve">Lemon Tree Resort, Mussoorie</t>
  </si>
  <si>
    <t xml:space="preserve">Punarnava Resort &amp; Spa</t>
  </si>
  <si>
    <t xml:space="preserve">Ramada by Wyndham Dehradun Chakrata Road</t>
  </si>
  <si>
    <t xml:space="preserve">Regenta Dehradun by Royal Orchid Hotels Limited</t>
  </si>
  <si>
    <t xml:space="preserve">Rokeby Manor</t>
  </si>
  <si>
    <t xml:space="preserve">Sandoz Minerva Boutique Resort</t>
  </si>
  <si>
    <t xml:space="preserve">Sterling Mussoorie</t>
  </si>
  <si>
    <t xml:space="preserve">The Claridges Nabha Residence - Heritage Property</t>
  </si>
  <si>
    <t xml:space="preserve">Welcomhotel by ITC Hotels, The Savoy, Mussoorie</t>
  </si>
  <si>
    <t xml:space="preserve">Alagon Saigon Hotel &amp; Spa</t>
  </si>
  <si>
    <t xml:space="preserve">Caravelle Saigon</t>
  </si>
  <si>
    <t xml:space="preserve">GRAND HOTEL du LAC Boutique Saigon</t>
  </si>
  <si>
    <t xml:space="preserve">Harmony Saigon Hotel &amp; Spa</t>
  </si>
  <si>
    <t xml:space="preserve">Holiday Inn &amp; Suites Saigon Airport</t>
  </si>
  <si>
    <t xml:space="preserve">Hotel Grand Saigon</t>
  </si>
  <si>
    <t xml:space="preserve">LOTTE HOTEL SAIGON</t>
  </si>
  <si>
    <t xml:space="preserve">Lancaster Legacy Hotel &amp; Apartments</t>
  </si>
  <si>
    <t xml:space="preserve">Le Meridien Saigon</t>
  </si>
  <si>
    <t xml:space="preserve">Liberty Hotel Saigon Greenview-Near Bui Vien Walking Street</t>
  </si>
  <si>
    <t xml:space="preserve">New World Saigon Hotel</t>
  </si>
  <si>
    <t xml:space="preserve">Pullman Saigon Centre</t>
  </si>
  <si>
    <t xml:space="preserve">Renaissance Riverside Hotel Saigon</t>
  </si>
  <si>
    <t xml:space="preserve">Saigon Prince Hotel</t>
  </si>
  <si>
    <t xml:space="preserve">2026-12-24</t>
  </si>
  <si>
    <t xml:space="preserve">2026-12-27</t>
  </si>
  <si>
    <t xml:space="preserve">Sherwood Suites</t>
  </si>
  <si>
    <t xml:space="preserve">Silverland Yen Hotel</t>
  </si>
  <si>
    <t xml:space="preserve">Sofitel Saigon Plaza</t>
  </si>
  <si>
    <t xml:space="preserve">Somerset Chancellor Court Ho Chi Minh City</t>
  </si>
  <si>
    <t xml:space="preserve">The Reverie Saigon</t>
  </si>
  <si>
    <t xml:space="preserve">Vinpearl Landmark 81, Autograph Collection</t>
  </si>
  <si>
    <t xml:space="preserve">Capella Hanoi</t>
  </si>
  <si>
    <t xml:space="preserve">Dolce by Wyndham Hanoi Golden Lake</t>
  </si>
  <si>
    <t xml:space="preserve">Fraser Suites Hanoi</t>
  </si>
  <si>
    <t xml:space="preserve">Grand Mercure Hanoi</t>
  </si>
  <si>
    <t xml:space="preserve">Grand Vista Hanoi</t>
  </si>
  <si>
    <t xml:space="preserve">2026-10-10</t>
  </si>
  <si>
    <t xml:space="preserve">2026-10-12</t>
  </si>
  <si>
    <t xml:space="preserve">InterContinental Hanoi Westlake by IHG</t>
  </si>
  <si>
    <t xml:space="preserve">JW Marriott Hotel Hanoi</t>
  </si>
  <si>
    <t xml:space="preserve">La Siesta Premium Lakeside</t>
  </si>
  <si>
    <t xml:space="preserve">Lotte Hotel Hanoi</t>
  </si>
  <si>
    <t xml:space="preserve">Novotel Hanoi Thai Ha</t>
  </si>
  <si>
    <t xml:space="preserve">Pan Pacific Hanoi</t>
  </si>
  <si>
    <t xml:space="preserve">Pullman Hanoi Hotel</t>
  </si>
  <si>
    <t xml:space="preserve">Sheraton Hanoi Hotel</t>
  </si>
  <si>
    <t xml:space="preserve">Sofitel Legend Metropole Hanoi</t>
  </si>
  <si>
    <t xml:space="preserve"> WelcomHeritage Elysium Resort &amp; Spa</t>
  </si>
  <si>
    <t xml:space="preserve"> Welcomhotel by ITC Hotels, Shimla</t>
  </si>
  <si>
    <t xml:space="preserve">Club Mahindra Kandaghat</t>
  </si>
  <si>
    <t xml:space="preserve">Hotel De Exotica Crest Theog</t>
  </si>
  <si>
    <t xml:space="preserve">Hotel Surya</t>
  </si>
  <si>
    <t xml:space="preserve">Hotel Willow Banks, Mall Road Shimla</t>
  </si>
  <si>
    <t xml:space="preserve">2026-12-28</t>
  </si>
  <si>
    <t xml:space="preserve">Radisson Hotel Shimla</t>
  </si>
  <si>
    <t xml:space="preserve">2026-07-28</t>
  </si>
  <si>
    <t xml:space="preserve">2026-07-31</t>
  </si>
  <si>
    <t xml:space="preserve">Regenta Resort MARS Valley View</t>
  </si>
  <si>
    <t xml:space="preserve">Royale Retreat Hotel &amp; Spa Near Mall Road</t>
  </si>
  <si>
    <t xml:space="preserve">Storii by ITC Hotels Narindera Orchards, Kufri</t>
  </si>
  <si>
    <t xml:space="preserve">The Oberoi Cecil, Shimla</t>
  </si>
  <si>
    <t xml:space="preserve">The Orchid Shimla</t>
  </si>
  <si>
    <t xml:space="preserve">TreeHouse Chail Villas</t>
  </si>
  <si>
    <t xml:space="preserve">Welcomhotel by ITC Hotels, Tavleen, Chail</t>
  </si>
  <si>
    <t xml:space="preserve">Wildflower Hall, An Oberoi Resort, Shimla</t>
  </si>
  <si>
    <t xml:space="preserve">WoodSmoke resort &amp; Spa</t>
  </si>
  <si>
    <t xml:space="preserve">- The Lalit Laxmi vilas palace</t>
  </si>
  <si>
    <t xml:space="preserve">- Tree of Life Vantara Resort, Udaipur</t>
  </si>
  <si>
    <t xml:space="preserve">Fateh Garh Resort by Fateh Collection</t>
  </si>
  <si>
    <t xml:space="preserve">Fateh Vilas by Fateh Collection</t>
  </si>
  <si>
    <t xml:space="preserve">Ginger Udaipur, Shastri Circle</t>
  </si>
  <si>
    <t xml:space="preserve">Justa Ssatva Resort</t>
  </si>
  <si>
    <t xml:space="preserve">Ramada by Wyndham Udaipur Resort and Spa</t>
  </si>
  <si>
    <t xml:space="preserve">Ramee Royal Resort &amp; Spa</t>
  </si>
  <si>
    <t xml:space="preserve">Taj Lalit Bagh, Udaipur</t>
  </si>
  <si>
    <t xml:space="preserve">The Ananta</t>
  </si>
  <si>
    <t xml:space="preserve">juSTa Luxe Sajjangarh Resort &amp; Spa, Udaipur</t>
  </si>
  <si>
    <t xml:space="preserve">lebua Udaipur Daulatgarh</t>
  </si>
  <si>
    <t xml:space="preserve">2026-11-10</t>
  </si>
  <si>
    <t xml:space="preserve">Baikunth Manali - By Leisure Hotels</t>
  </si>
  <si>
    <t xml:space="preserve">Baragarh Resort and Spa, Manali, IHCL SeleQtions</t>
  </si>
  <si>
    <t xml:space="preserve">Bookmark Resorts, Manali</t>
  </si>
  <si>
    <t xml:space="preserve">Club Mahindra White Meadows Manali</t>
  </si>
  <si>
    <t xml:space="preserve">Larisa Manali</t>
  </si>
  <si>
    <t xml:space="preserve">Palchan Hotel &amp; Spa, A member of Radisson Individuals Retreats</t>
  </si>
  <si>
    <t xml:space="preserve">Solang Valley Resort</t>
  </si>
  <si>
    <t xml:space="preserve">The Allure Grand - Riverside Resort &amp; Spa</t>
  </si>
  <si>
    <t xml:space="preserve">The Himalayan</t>
  </si>
  <si>
    <t xml:space="preserve">The Orchard Greens Resort (A centrally heated property)</t>
  </si>
  <si>
    <t xml:space="preserve">The Orchid Manali - a Boutique Hotel</t>
  </si>
  <si>
    <t xml:space="preserve">The Orchid Manali a Boutique Hotel</t>
  </si>
  <si>
    <t xml:space="preserve">Al Habtoor Palace</t>
  </si>
  <si>
    <t xml:space="preserve">2026-11-13</t>
  </si>
  <si>
    <t xml:space="preserve">2026-11-18</t>
  </si>
  <si>
    <t xml:space="preserve">Four Points by Sheraton Sheikh Zayed Road, Dubai</t>
  </si>
  <si>
    <t xml:space="preserve">Hotel Indigo Dubai Downtown by IHG</t>
  </si>
  <si>
    <t xml:space="preserve">InterContinental Residences Dubai Business Bay by IHG</t>
  </si>
  <si>
    <t xml:space="preserve">Landmark Grand Hotel</t>
  </si>
  <si>
    <t xml:space="preserve">2026-09-03</t>
  </si>
  <si>
    <t xml:space="preserve">2026-11-11</t>
  </si>
  <si>
    <t xml:space="preserve">2026-11-14</t>
  </si>
  <si>
    <t xml:space="preserve">Majestic City Retreat Hotel</t>
  </si>
  <si>
    <t xml:space="preserve">2026-09-21</t>
  </si>
  <si>
    <t xml:space="preserve">2026-11-16</t>
  </si>
  <si>
    <t xml:space="preserve">Queen Elizabeth 2</t>
  </si>
  <si>
    <t xml:space="preserve">2026-10-13</t>
  </si>
  <si>
    <t xml:space="preserve">2026-10-18</t>
  </si>
  <si>
    <t xml:space="preserve">Radisson Blu Hotel, Dubai Canal View</t>
  </si>
  <si>
    <t xml:space="preserve">Raviz Center Point Hotel</t>
  </si>
  <si>
    <t xml:space="preserve">voco Dubai by IHG</t>
  </si>
  <si>
    <t xml:space="preserve">2026-10-20</t>
  </si>
  <si>
    <t xml:space="preserve">2026-10-24</t>
  </si>
  <si>
    <t xml:space="preserve">Citadines Harbour Front Yokohama</t>
  </si>
  <si>
    <t xml:space="preserve">2026-08-07</t>
  </si>
  <si>
    <t xml:space="preserve">2026-08-10</t>
  </si>
  <si>
    <t xml:space="preserve">2026-10-14</t>
  </si>
  <si>
    <t xml:space="preserve">2026-10-17</t>
  </si>
  <si>
    <t xml:space="preserve">Hotel Livemax Higashi Ueno</t>
  </si>
  <si>
    <t xml:space="preserve">Hotel New Otani Tokyo Garden Tower</t>
  </si>
  <si>
    <t xml:space="preserve">Hotel Resol Stay Akihabara</t>
  </si>
  <si>
    <t xml:space="preserve">2026-10-07</t>
  </si>
  <si>
    <t xml:space="preserve">2027-03-10</t>
  </si>
  <si>
    <t xml:space="preserve">2027-03-14</t>
  </si>
  <si>
    <t xml:space="preserve">Shinjuku Granbell Hotel</t>
  </si>
  <si>
    <t xml:space="preserve">2026-11-19</t>
  </si>
  <si>
    <t xml:space="preserve">The Royal Park Hotel Ginza 6-chome</t>
  </si>
  <si>
    <t xml:space="preserve">Tokyo Marriott Hotel</t>
  </si>
  <si>
    <t xml:space="preserve">Tokyu Stay Shinjuku Eastside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</si>
</sst>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yyyy\-mm\-dd"/>
    <numFmt numFmtId="167" formatCode="#,##0;\(#,##0\);\-"/>
    <numFmt numFmtId="168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23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C23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3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41</v>
      </c>
      <c r="C5" s="5" t="n">
        <f aca="false">COUNT(Goa!Q:Q)</f>
        <v>130</v>
      </c>
      <c r="D5" s="6" t="n">
        <f aca="false">IFERROR(MEDIAN(Goa!Q:Q),"")</f>
        <v>0.136567163884688</v>
      </c>
      <c r="E5" s="6" t="n">
        <f aca="false">IFERROR(AVERAGE(Goa!Q:Q),"")</f>
        <v>0.194429713307749</v>
      </c>
      <c r="F5" s="6" t="n">
        <f aca="false">IFERROR(MEDIAN(Goa!R:R),"")</f>
        <v>0.120829615671794</v>
      </c>
      <c r="G5" s="5" t="n">
        <f aca="false">COUNTIF(Goa!Q:Q,"&lt;0")</f>
        <v>5</v>
      </c>
    </row>
    <row r="6" customFormat="false" ht="15" hidden="false" customHeight="false" outlineLevel="0" collapsed="false">
      <c r="A6" s="4" t="s">
        <v>10</v>
      </c>
      <c r="B6" s="5" t="n">
        <v>36</v>
      </c>
      <c r="C6" s="5" t="n">
        <f aca="false">COUNT('Lonavala-Mahabaleshwar'!Q:Q)</f>
        <v>92</v>
      </c>
      <c r="D6" s="6" t="n">
        <f aca="false">IFERROR(MEDIAN('Lonavala-Mahabaleshwar'!Q:Q),"")</f>
        <v>0.0632811071145522</v>
      </c>
      <c r="E6" s="6" t="n">
        <f aca="false">IFERROR(AVERAGE('Lonavala-Mahabaleshwar'!Q:Q),"")</f>
        <v>0.0576669405173847</v>
      </c>
      <c r="F6" s="6" t="n">
        <f aca="false">IFERROR(MEDIAN('Lonavala-Mahabaleshwar'!R:R),"")</f>
        <v>0.0536280568767392</v>
      </c>
      <c r="G6" s="5" t="n">
        <f aca="false">COUNTIF('Lonavala-Mahabaleshwar'!Q:Q,"&lt;0")</f>
        <v>24</v>
      </c>
    </row>
    <row r="7" customFormat="false" ht="15" hidden="false" customHeight="false" outlineLevel="0" collapsed="false">
      <c r="A7" s="4" t="s">
        <v>11</v>
      </c>
      <c r="B7" s="5" t="n">
        <v>27</v>
      </c>
      <c r="C7" s="5" t="n">
        <f aca="false">COUNT(Mussorie!Q:Q)</f>
        <v>88</v>
      </c>
      <c r="D7" s="6" t="n">
        <f aca="false">IFERROR(MEDIAN(Mussorie!Q:Q),"")</f>
        <v>0.145319471593536</v>
      </c>
      <c r="E7" s="6" t="n">
        <f aca="false">IFERROR(AVERAGE(Mussorie!Q:Q),"")</f>
        <v>0.165147206679244</v>
      </c>
      <c r="F7" s="6" t="n">
        <f aca="false">IFERROR(MEDIAN(Mussorie!R:R),"")</f>
        <v>0.126247393797115</v>
      </c>
      <c r="G7" s="5" t="n">
        <f aca="false">COUNTIF(Mussorie!Q:Q,"&lt;0")</f>
        <v>4</v>
      </c>
    </row>
    <row r="8" customFormat="false" ht="15" hidden="false" customHeight="false" outlineLevel="0" collapsed="false">
      <c r="A8" s="4" t="s">
        <v>12</v>
      </c>
      <c r="B8" s="5" t="n">
        <v>21</v>
      </c>
      <c r="C8" s="5" t="n">
        <f aca="false">COUNT('ho chi minh'!Q:Q)</f>
        <v>81</v>
      </c>
      <c r="D8" s="6" t="n">
        <f aca="false">IFERROR(MEDIAN('ho chi minh'!Q:Q),"")</f>
        <v>0.117521231759748</v>
      </c>
      <c r="E8" s="6" t="n">
        <f aca="false">IFERROR(AVERAGE('ho chi minh'!Q:Q),"")</f>
        <v>0.16735606418473</v>
      </c>
      <c r="F8" s="6" t="n">
        <f aca="false">IFERROR(MEDIAN('ho chi minh'!R:R),"")</f>
        <v>0.0995942642031759</v>
      </c>
      <c r="G8" s="5" t="n">
        <f aca="false">COUNTIF('ho chi minh'!Q:Q,"&lt;0")</f>
        <v>7</v>
      </c>
    </row>
    <row r="9" customFormat="false" ht="15" hidden="false" customHeight="false" outlineLevel="0" collapsed="false">
      <c r="A9" s="4" t="s">
        <v>13</v>
      </c>
      <c r="B9" s="5" t="n">
        <v>17</v>
      </c>
      <c r="C9" s="5" t="n">
        <f aca="false">COUNT(Hanoi!Q:Q)</f>
        <v>46</v>
      </c>
      <c r="D9" s="6" t="n">
        <f aca="false">IFERROR(MEDIAN(Hanoi!Q:Q),"")</f>
        <v>0.0797436849638451</v>
      </c>
      <c r="E9" s="6" t="n">
        <f aca="false">IFERROR(AVERAGE(Hanoi!Q:Q),"")</f>
        <v>0.101140714060379</v>
      </c>
      <c r="F9" s="6" t="n">
        <f aca="false">IFERROR(MEDIAN(Hanoi!R:R),"")</f>
        <v>0.067579394037157</v>
      </c>
      <c r="G9" s="5" t="n">
        <f aca="false">COUNTIF(Hanoi!Q:Q,"&lt;0")</f>
        <v>4</v>
      </c>
    </row>
    <row r="10" customFormat="false" ht="15" hidden="false" customHeight="false" outlineLevel="0" collapsed="false">
      <c r="A10" s="4" t="s">
        <v>14</v>
      </c>
      <c r="B10" s="5" t="n">
        <v>17</v>
      </c>
      <c r="C10" s="5" t="n">
        <f aca="false">COUNT(Shimla!Q:Q)</f>
        <v>59</v>
      </c>
      <c r="D10" s="6" t="n">
        <f aca="false">IFERROR(MEDIAN(Shimla!Q:Q),"")</f>
        <v>0.110576415711602</v>
      </c>
      <c r="E10" s="6" t="n">
        <f aca="false">IFERROR(AVERAGE(Shimla!Q:Q),"")</f>
        <v>0.131256919795146</v>
      </c>
      <c r="F10" s="6" t="n">
        <f aca="false">IFERROR(MEDIAN(Shimla!R:R),"")</f>
        <v>0.0937088268742391</v>
      </c>
      <c r="G10" s="5" t="n">
        <f aca="false">COUNTIF(Shimla!Q:Q,"&lt;0")</f>
        <v>12</v>
      </c>
    </row>
    <row r="11" customFormat="false" ht="15" hidden="false" customHeight="false" outlineLevel="0" collapsed="false">
      <c r="A11" s="4" t="s">
        <v>15</v>
      </c>
      <c r="B11" s="5" t="n">
        <v>16</v>
      </c>
      <c r="C11" s="5" t="n">
        <f aca="false">COUNT('Jaipur-Udaipur'!Q:Q)</f>
        <v>49</v>
      </c>
      <c r="D11" s="6" t="n">
        <f aca="false">IFERROR(MEDIAN('Jaipur-Udaipur'!Q:Q),"")</f>
        <v>0.101578334211072</v>
      </c>
      <c r="E11" s="6" t="n">
        <f aca="false">IFERROR(AVERAGE('Jaipur-Udaipur'!Q:Q),"")</f>
        <v>0.120645019330769</v>
      </c>
      <c r="F11" s="6" t="n">
        <f aca="false">IFERROR(MEDIAN('Jaipur-Udaipur'!R:R),"")</f>
        <v>0.0892181371986881</v>
      </c>
      <c r="G11" s="5" t="n">
        <f aca="false">COUNTIF('Jaipur-Udaipur'!Q:Q,"&lt;0")</f>
        <v>0</v>
      </c>
    </row>
    <row r="12" customFormat="false" ht="15" hidden="false" customHeight="false" outlineLevel="0" collapsed="false">
      <c r="A12" s="4" t="s">
        <v>16</v>
      </c>
      <c r="B12" s="5" t="n">
        <v>12</v>
      </c>
      <c r="C12" s="5" t="n">
        <f aca="false">COUNT('Manali-Mussoorie'!Q:Q)</f>
        <v>44</v>
      </c>
      <c r="D12" s="6" t="n">
        <f aca="false">IFERROR(MEDIAN('Manali-Mussoorie'!Q:Q),"")</f>
        <v>0.073537637259605</v>
      </c>
      <c r="E12" s="6" t="n">
        <f aca="false">IFERROR(AVERAGE('Manali-Mussoorie'!Q:Q),"")</f>
        <v>0.0963822099318829</v>
      </c>
      <c r="F12" s="6" t="n">
        <f aca="false">IFERROR(MEDIAN('Manali-Mussoorie'!R:R),"")</f>
        <v>0.0623200315759365</v>
      </c>
      <c r="G12" s="5" t="n">
        <f aca="false">COUNTIF('Manali-Mussoorie'!Q:Q,"&lt;0")</f>
        <v>3</v>
      </c>
    </row>
    <row r="13" customFormat="false" ht="15" hidden="false" customHeight="false" outlineLevel="0" collapsed="false">
      <c r="A13" s="4" t="s">
        <v>17</v>
      </c>
      <c r="B13" s="5" t="n">
        <v>11</v>
      </c>
      <c r="C13" s="5" t="n">
        <f aca="false">COUNT(Dubai!Q:Q)</f>
        <v>33</v>
      </c>
      <c r="D13" s="6" t="n">
        <f aca="false">IFERROR(MEDIAN(Dubai!Q:Q),"")</f>
        <v>0.159178141602516</v>
      </c>
      <c r="E13" s="6" t="n">
        <f aca="false">IFERROR(AVERAGE(Dubai!Q:Q),"")</f>
        <v>0.209889837090958</v>
      </c>
      <c r="F13" s="6" t="n">
        <f aca="false">IFERROR(MEDIAN(Dubai!R:R),"")</f>
        <v>0.135686063989511</v>
      </c>
      <c r="G13" s="5" t="n">
        <f aca="false">COUNTIF(Dubai!Q:Q,"&lt;0")</f>
        <v>2</v>
      </c>
    </row>
    <row r="14" customFormat="false" ht="15" hidden="false" customHeight="false" outlineLevel="0" collapsed="false">
      <c r="A14" s="4" t="s">
        <v>18</v>
      </c>
      <c r="B14" s="5" t="n">
        <v>10</v>
      </c>
      <c r="C14" s="5" t="n">
        <f aca="false">COUNT(Tokyo!Q:Q)</f>
        <v>15</v>
      </c>
      <c r="D14" s="6" t="n">
        <f aca="false">IFERROR(MEDIAN(Tokyo!Q:Q),"")</f>
        <v>0.313667217024399</v>
      </c>
      <c r="E14" s="6" t="n">
        <f aca="false">IFERROR(AVERAGE(Tokyo!Q:Q),"")</f>
        <v>0.366950735492588</v>
      </c>
      <c r="F14" s="6" t="n">
        <f aca="false">IFERROR(MEDIAN(Tokyo!R:R),"")</f>
        <v>0.267338832875038</v>
      </c>
      <c r="G14" s="5" t="n">
        <f aca="false">COUNTIF(Tokyo!Q:Q,"&lt;0")</f>
        <v>0</v>
      </c>
    </row>
    <row r="15" customFormat="false" ht="15" hidden="false" customHeight="false" outlineLevel="0" collapsed="false">
      <c r="A15" s="4" t="s">
        <v>19</v>
      </c>
      <c r="B15" s="5" t="n">
        <v>1</v>
      </c>
      <c r="C15" s="5" t="n">
        <f aca="false">COUNT('Bengaluru (metro)'!Q:Q)</f>
        <v>0</v>
      </c>
      <c r="D15" s="6" t="str">
        <f aca="false">IFERROR(MEDIAN('Bengaluru (metro)'!Q:Q),"")</f>
        <v/>
      </c>
      <c r="E15" s="6" t="str">
        <f aca="false">IFERROR(AVERAGE('Bengaluru (metro)'!Q:Q),"")</f>
        <v/>
      </c>
      <c r="F15" s="6" t="str">
        <f aca="false">IFERROR(MEDIAN('Bengaluru (metro)'!R:R),"")</f>
        <v/>
      </c>
      <c r="G15" s="5" t="n">
        <f aca="false">COUNTIF('Bengaluru (metro)'!Q:Q,"&lt;0")</f>
        <v>0</v>
      </c>
    </row>
    <row r="16" customFormat="false" ht="15" hidden="false" customHeight="false" outlineLevel="0" collapsed="false">
      <c r="A16" s="4" t="s">
        <v>20</v>
      </c>
      <c r="B16" s="4" t="n">
        <f aca="false">SUM(B5:B15)</f>
        <v>209</v>
      </c>
      <c r="C16" s="4" t="n">
        <f aca="false">SUM(C5:C15)</f>
        <v>637</v>
      </c>
      <c r="D16" s="7" t="n">
        <f aca="false">IFERROR(MEDIAN(Goa!Q:Q,'Jaipur-Udaipur'!Q:Q,'Manali-Mussoorie'!Q:Q,Hanoi!Q:Q,Tokyo!Q:Q,'ho chi minh'!Q:Q,Mussorie!Q:Q,Dubai!Q:Q,'Bengaluru (metro)'!Q:Q,Shimla!Q:Q,'Lonavala-Mahabaleshwar'!Q:Q),"")</f>
        <v>0.118407096711985</v>
      </c>
      <c r="E16" s="7" t="n">
        <f aca="false">IFERROR(AVERAGE(Goa!Q:Q,'Jaipur-Udaipur'!Q:Q,'Manali-Mussoorie'!Q:Q,Hanoi!Q:Q,Tokyo!Q:Q,'ho chi minh'!Q:Q,Mussorie!Q:Q,Dubai!Q:Q,'Bengaluru (metro)'!Q:Q,Shimla!Q:Q,'Lonavala-Mahabaleshwar'!Q:Q),"")</f>
        <v>0.147016792150134</v>
      </c>
      <c r="G16" s="4" t="n">
        <f aca="false">SUM(G5:G15)</f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11" min="7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9" min="17" style="0" width="10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8" t="s">
        <v>2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2" customFormat="false" ht="15" hidden="false" customHeight="false" outlineLevel="0" collapsed="false">
      <c r="A2" s="9" t="s">
        <v>9</v>
      </c>
      <c r="B2" s="9" t="s">
        <v>40</v>
      </c>
      <c r="C2" s="9" t="s">
        <v>41</v>
      </c>
      <c r="D2" s="10" t="s">
        <v>42</v>
      </c>
      <c r="E2" s="10" t="s">
        <v>43</v>
      </c>
      <c r="F2" s="9" t="n">
        <f aca="false">IF(OR(D2="",E2=""),1,MAX(1,DATEVALUE(E2)-DATEVALUE(D2)))</f>
        <v>3</v>
      </c>
      <c r="G2" s="11" t="n">
        <v>19505</v>
      </c>
      <c r="H2" s="11" t="n">
        <v>24934</v>
      </c>
      <c r="I2" s="11"/>
      <c r="J2" s="11"/>
      <c r="K2" s="11"/>
      <c r="L2" s="12" t="n">
        <v>372.02</v>
      </c>
      <c r="M2" s="13" t="n">
        <v>0.28</v>
      </c>
      <c r="N2" s="14" t="n">
        <f aca="false">IF(G2="","",G2/F2)</f>
        <v>6501.66666666667</v>
      </c>
      <c r="O2" s="14" t="n">
        <f aca="false">IF(COUNT(H2:K2)=0,"",MIN(H2:K2)/F2)</f>
        <v>8311.33333333333</v>
      </c>
      <c r="P2" s="14" t="n">
        <f aca="false">IF(L2="","",L2*95/F2)</f>
        <v>11780.6333333333</v>
      </c>
      <c r="Q2" s="15" t="n">
        <f aca="false">IF(OR(N2="",O2=""),"",(IF(AND(N2&gt;7500,O2&gt;7500),O2/(1+IF(O2&lt;=1000,0,IF(O2&lt;=7500,0.05,0.18)))-IF(AND(N2&gt;7500,O2&gt;7500),N2/1.18,N2),(O2-IF(AND(N2&gt;7500,O2&gt;7500),N2/1.18,N2))/(1+IF(O2&lt;=1000,0,IF(O2&lt;=7500,0.05,0.18)))))/(IF(AND(N2&gt;7500,O2&gt;7500),N2/1.18,N2)))</f>
        <v>0.235880413105723</v>
      </c>
      <c r="R2" s="15" t="n">
        <f aca="false">IF(OR(N2="",O2=""),"",((O2-N2)/1.18)/N2)</f>
        <v>0.235880413105723</v>
      </c>
      <c r="S2" s="15" t="n">
        <f aca="false">IF(OR(P2="",O2=""),"",(P2-O2)/O2)</f>
        <v>0.417417983476378</v>
      </c>
      <c r="T2" s="9" t="str">
        <f aca="false">IF(AND(D2="",G2&lt;&gt;""),"no dates - assumed 1 night",IF(Q2="","",IF(Q2&gt;1.5,"check: markup &gt;150%",IF(Q2&lt;0,"below cost",""))))</f>
        <v/>
      </c>
    </row>
    <row r="3" customFormat="false" ht="15" hidden="false" customHeight="false" outlineLevel="0" collapsed="false">
      <c r="A3" s="9" t="s">
        <v>9</v>
      </c>
      <c r="B3" s="9" t="s">
        <v>40</v>
      </c>
      <c r="C3" s="9" t="s">
        <v>44</v>
      </c>
      <c r="D3" s="10" t="s">
        <v>45</v>
      </c>
      <c r="E3" s="10" t="s">
        <v>46</v>
      </c>
      <c r="F3" s="9" t="n">
        <f aca="false">IF(OR(D3="",E3=""),1,MAX(1,DATEVALUE(E3)-DATEVALUE(D3)))</f>
        <v>3</v>
      </c>
      <c r="G3" s="11" t="n">
        <v>29009</v>
      </c>
      <c r="H3" s="11" t="n">
        <v>30319</v>
      </c>
      <c r="I3" s="11"/>
      <c r="J3" s="11"/>
      <c r="K3" s="11"/>
      <c r="L3" s="12" t="n">
        <v>317.82</v>
      </c>
      <c r="M3" s="13" t="n">
        <v>0.12</v>
      </c>
      <c r="N3" s="14" t="n">
        <f aca="false">IF(G3="","",G3/F3)</f>
        <v>9669.66666666667</v>
      </c>
      <c r="O3" s="14" t="n">
        <f aca="false">IF(COUNT(H3:K3)=0,"",MIN(H3:K3)/F3)</f>
        <v>10106.3333333333</v>
      </c>
      <c r="P3" s="14" t="n">
        <f aca="false">IF(L3="","",L3*95/F3)</f>
        <v>10064.3</v>
      </c>
      <c r="Q3" s="15" t="n">
        <f aca="false">IF(OR(N3="",O3=""),"",(IF(AND(N3&gt;7500,O3&gt;7500),O3/(1+IF(O3&lt;=1000,0,IF(O3&lt;=7500,0.05,0.18)))-IF(AND(N3&gt;7500,O3&gt;7500),N3/1.18,N3),(O3-IF(AND(N3&gt;7500,O3&gt;7500),N3/1.18,N3))/(1+IF(O3&lt;=1000,0,IF(O3&lt;=7500,0.05,0.18)))))/(IF(AND(N3&gt;7500,O3&gt;7500),N3/1.18,N3)))</f>
        <v>0.0451583991175154</v>
      </c>
      <c r="R3" s="15" t="n">
        <f aca="false">IF(OR(N3="",O3=""),"",((O3-N3)/1.18)/N3)</f>
        <v>0.0382698297606063</v>
      </c>
      <c r="S3" s="15" t="n">
        <f aca="false">IF(OR(P3="",O3=""),"",(P3-O3)/O3)</f>
        <v>-0.00415910815000508</v>
      </c>
      <c r="T3" s="9" t="str">
        <f aca="false">IF(AND(D3="",G3&lt;&gt;""),"no dates - assumed 1 night",IF(Q3="","",IF(Q3&gt;1.5,"check: markup &gt;150%",IF(Q3&lt;0,"below cost",""))))</f>
        <v/>
      </c>
    </row>
    <row r="4" customFormat="false" ht="15" hidden="false" customHeight="false" outlineLevel="0" collapsed="false">
      <c r="A4" s="9" t="s">
        <v>9</v>
      </c>
      <c r="B4" s="9" t="s">
        <v>40</v>
      </c>
      <c r="C4" s="9" t="s">
        <v>47</v>
      </c>
      <c r="D4" s="10" t="s">
        <v>48</v>
      </c>
      <c r="E4" s="10" t="s">
        <v>49</v>
      </c>
      <c r="F4" s="9" t="n">
        <f aca="false">IF(OR(D4="",E4=""),1,MAX(1,DATEVALUE(E4)-DATEVALUE(D4)))</f>
        <v>3</v>
      </c>
      <c r="G4" s="11" t="n">
        <v>68689</v>
      </c>
      <c r="H4" s="11" t="n">
        <v>71904</v>
      </c>
      <c r="I4" s="11"/>
      <c r="J4" s="11"/>
      <c r="K4" s="11"/>
      <c r="L4" s="12" t="n">
        <v>753.75</v>
      </c>
      <c r="M4" s="13" t="n">
        <v>0.12</v>
      </c>
      <c r="N4" s="14" t="n">
        <f aca="false">IF(G4="","",G4/F4)</f>
        <v>22896.3333333333</v>
      </c>
      <c r="O4" s="14" t="n">
        <f aca="false">IF(COUNT(H4:K4)=0,"",MIN(H4:K4)/F4)</f>
        <v>23968</v>
      </c>
      <c r="P4" s="14" t="n">
        <f aca="false">IF(L4="","",L4*95/F4)</f>
        <v>23868.75</v>
      </c>
      <c r="Q4" s="15" t="n">
        <f aca="false">IF(OR(N4="",O4=""),"",(IF(AND(N4&gt;7500,O4&gt;7500),O4/(1+IF(O4&lt;=1000,0,IF(O4&lt;=7500,0.05,0.18)))-IF(AND(N4&gt;7500,O4&gt;7500),N4/1.18,N4),(O4-IF(AND(N4&gt;7500,O4&gt;7500),N4/1.18,N4))/(1+IF(O4&lt;=1000,0,IF(O4&lt;=7500,0.05,0.18)))))/(IF(AND(N4&gt;7500,O4&gt;7500),N4/1.18,N4)))</f>
        <v>0.0468051653103118</v>
      </c>
      <c r="R4" s="15" t="n">
        <f aca="false">IF(OR(N4="",O4=""),"",((O4-N4)/1.18)/N4)</f>
        <v>0.0396653943307727</v>
      </c>
      <c r="S4" s="15" t="n">
        <f aca="false">IF(OR(P4="",O4=""),"",(P4-O4)/O4)</f>
        <v>-0.00414093791722296</v>
      </c>
      <c r="T4" s="9" t="str">
        <f aca="false">IF(AND(D4="",G4&lt;&gt;""),"no dates - assumed 1 night",IF(Q4="","",IF(Q4&gt;1.5,"check: markup &gt;150%",IF(Q4&lt;0,"below cost",""))))</f>
        <v/>
      </c>
    </row>
    <row r="5" customFormat="false" ht="15" hidden="false" customHeight="false" outlineLevel="0" collapsed="false">
      <c r="A5" s="9" t="s">
        <v>9</v>
      </c>
      <c r="B5" s="9" t="s">
        <v>40</v>
      </c>
      <c r="C5" s="9" t="s">
        <v>50</v>
      </c>
      <c r="D5" s="10" t="s">
        <v>51</v>
      </c>
      <c r="E5" s="10" t="s">
        <v>52</v>
      </c>
      <c r="F5" s="9" t="n">
        <f aca="false">IF(OR(D5="",E5=""),1,MAX(1,DATEVALUE(E5)-DATEVALUE(D5)))</f>
        <v>3</v>
      </c>
      <c r="G5" s="11" t="n">
        <v>56367</v>
      </c>
      <c r="H5" s="11" t="n">
        <v>98454</v>
      </c>
      <c r="I5" s="11"/>
      <c r="J5" s="11"/>
      <c r="K5" s="11"/>
      <c r="L5" s="12" t="n">
        <v>1032.09</v>
      </c>
      <c r="M5" s="13" t="n">
        <v>0.12</v>
      </c>
      <c r="N5" s="14" t="n">
        <f aca="false">IF(G5="","",G5/F5)</f>
        <v>18789</v>
      </c>
      <c r="O5" s="14" t="n">
        <f aca="false">IF(COUNT(H5:K5)=0,"",MIN(H5:K5)/F5)</f>
        <v>32818</v>
      </c>
      <c r="P5" s="14" t="n">
        <f aca="false">IF(L5="","",L5*95/F5)</f>
        <v>32682.85</v>
      </c>
      <c r="Q5" s="15" t="n">
        <f aca="false">IF(OR(N5="",O5=""),"",(IF(AND(N5&gt;7500,O5&gt;7500),O5/(1+IF(O5&lt;=1000,0,IF(O5&lt;=7500,0.05,0.18)))-IF(AND(N5&gt;7500,O5&gt;7500),N5/1.18,N5),(O5-IF(AND(N5&gt;7500,O5&gt;7500),N5/1.18,N5))/(1+IF(O5&lt;=1000,0,IF(O5&lt;=7500,0.05,0.18)))))/(IF(AND(N5&gt;7500,O5&gt;7500),N5/1.18,N5)))</f>
        <v>0.746660279951035</v>
      </c>
      <c r="R5" s="15" t="n">
        <f aca="false">IF(OR(N5="",O5=""),"",((O5-N5)/1.18)/N5)</f>
        <v>0.632762949111047</v>
      </c>
      <c r="S5" s="15" t="n">
        <f aca="false">IF(OR(P5="",O5=""),"",(P5-O5)/O5)</f>
        <v>-0.00411816685965035</v>
      </c>
      <c r="T5" s="9" t="str">
        <f aca="false">IF(AND(D5="",G5&lt;&gt;""),"no dates - assumed 1 night",IF(Q5="","",IF(Q5&gt;1.5,"check: markup &gt;150%",IF(Q5&lt;0,"below cost",""))))</f>
        <v/>
      </c>
    </row>
    <row r="6" customFormat="false" ht="15" hidden="false" customHeight="false" outlineLevel="0" collapsed="false">
      <c r="A6" s="9" t="s">
        <v>9</v>
      </c>
      <c r="B6" s="9" t="s">
        <v>53</v>
      </c>
      <c r="C6" s="9" t="s">
        <v>41</v>
      </c>
      <c r="D6" s="10" t="s">
        <v>42</v>
      </c>
      <c r="E6" s="10" t="s">
        <v>43</v>
      </c>
      <c r="F6" s="9" t="n">
        <f aca="false">IF(OR(D6="",E6=""),1,MAX(1,DATEVALUE(E6)-DATEVALUE(D6)))</f>
        <v>3</v>
      </c>
      <c r="G6" s="11" t="n">
        <v>21319</v>
      </c>
      <c r="H6" s="11" t="n">
        <v>22460</v>
      </c>
      <c r="I6" s="11"/>
      <c r="J6" s="11"/>
      <c r="K6" s="11"/>
      <c r="L6" s="12" t="n">
        <v>235.43</v>
      </c>
      <c r="M6" s="13" t="n">
        <v>0.12</v>
      </c>
      <c r="N6" s="14" t="n">
        <f aca="false">IF(G6="","",G6/F6)</f>
        <v>7106.33333333333</v>
      </c>
      <c r="O6" s="14" t="n">
        <f aca="false">IF(COUNT(H6:K6)=0,"",MIN(H6:K6)/F6)</f>
        <v>7486.66666666667</v>
      </c>
      <c r="P6" s="14" t="n">
        <f aca="false">IF(L6="","",L6*95/F6)</f>
        <v>7455.28333333333</v>
      </c>
      <c r="Q6" s="15" t="n">
        <f aca="false">IF(OR(N6="",O6=""),"",(IF(AND(N6&gt;7500,O6&gt;7500),O6/(1+IF(O6&lt;=1000,0,IF(O6&lt;=7500,0.05,0.18)))-IF(AND(N6&gt;7500,O6&gt;7500),N6/1.18,N6),(O6-IF(AND(N6&gt;7500,O6&gt;7500),N6/1.18,N6))/(1+IF(O6&lt;=1000,0,IF(O6&lt;=7500,0.05,0.18)))))/(IF(AND(N6&gt;7500,O6&gt;7500),N6/1.18,N6)))</f>
        <v>0.0509717466422754</v>
      </c>
      <c r="R6" s="15" t="n">
        <f aca="false">IF(OR(N6="",O6=""),"",((O6-N6)/1.18)/N6)</f>
        <v>0.0453562152325332</v>
      </c>
      <c r="S6" s="15" t="n">
        <f aca="false">IF(OR(P6="",O6=""),"",(P6-O6)/O6)</f>
        <v>-0.00419189670525377</v>
      </c>
      <c r="T6" s="9" t="str">
        <f aca="false">IF(AND(D6="",G6&lt;&gt;""),"no dates - assumed 1 night",IF(Q6="","",IF(Q6&gt;1.5,"check: markup &gt;150%",IF(Q6&lt;0,"below cost",""))))</f>
        <v/>
      </c>
    </row>
    <row r="7" customFormat="false" ht="15" hidden="false" customHeight="false" outlineLevel="0" collapsed="false">
      <c r="A7" s="9" t="s">
        <v>9</v>
      </c>
      <c r="B7" s="9" t="s">
        <v>53</v>
      </c>
      <c r="C7" s="9" t="s">
        <v>44</v>
      </c>
      <c r="D7" s="10" t="s">
        <v>45</v>
      </c>
      <c r="E7" s="10" t="s">
        <v>46</v>
      </c>
      <c r="F7" s="9" t="n">
        <f aca="false">IF(OR(D7="",E7=""),1,MAX(1,DATEVALUE(E7)-DATEVALUE(D7)))</f>
        <v>3</v>
      </c>
      <c r="G7" s="11" t="n">
        <v>20505</v>
      </c>
      <c r="H7" s="11" t="n">
        <v>22460</v>
      </c>
      <c r="I7" s="11"/>
      <c r="J7" s="11"/>
      <c r="K7" s="11"/>
      <c r="L7" s="12" t="n">
        <v>217</v>
      </c>
      <c r="M7" s="13" t="n">
        <v>0.12</v>
      </c>
      <c r="N7" s="14" t="n">
        <f aca="false">IF(G7="","",G7/F7)</f>
        <v>6835</v>
      </c>
      <c r="O7" s="14" t="n">
        <f aca="false">IF(COUNT(H7:K7)=0,"",MIN(H7:K7)/F7)</f>
        <v>7486.66666666667</v>
      </c>
      <c r="P7" s="14" t="n">
        <f aca="false">IF(L7="","",L7*95/F7)</f>
        <v>6871.66666666667</v>
      </c>
      <c r="Q7" s="15" t="n">
        <f aca="false">IF(OR(N7="",O7=""),"",(IF(AND(N7&gt;7500,O7&gt;7500),O7/(1+IF(O7&lt;=1000,0,IF(O7&lt;=7500,0.05,0.18)))-IF(AND(N7&gt;7500,O7&gt;7500),N7/1.18,N7),(O7-IF(AND(N7&gt;7500,O7&gt;7500),N7/1.18,N7))/(1+IF(O7&lt;=1000,0,IF(O7&lt;=7500,0.05,0.18)))))/(IF(AND(N7&gt;7500,O7&gt;7500),N7/1.18,N7)))</f>
        <v>0.0908024755866746</v>
      </c>
      <c r="R7" s="15" t="n">
        <f aca="false">IF(OR(N7="",O7=""),"",((O7-N7)/1.18)/N7)</f>
        <v>0.080798813022041</v>
      </c>
      <c r="S7" s="15" t="n">
        <f aca="false">IF(OR(P7="",O7=""),"",(P7-O7)/O7)</f>
        <v>-0.0821460373998219</v>
      </c>
      <c r="T7" s="9" t="str">
        <f aca="false">IF(AND(D7="",G7&lt;&gt;""),"no dates - assumed 1 night",IF(Q7="","",IF(Q7&gt;1.5,"check: markup &gt;150%",IF(Q7&lt;0,"below cost",""))))</f>
        <v/>
      </c>
    </row>
    <row r="8" customFormat="false" ht="15" hidden="false" customHeight="false" outlineLevel="0" collapsed="false">
      <c r="A8" s="9" t="s">
        <v>9</v>
      </c>
      <c r="B8" s="9" t="s">
        <v>53</v>
      </c>
      <c r="C8" s="9" t="s">
        <v>47</v>
      </c>
      <c r="D8" s="10" t="s">
        <v>48</v>
      </c>
      <c r="E8" s="10" t="s">
        <v>49</v>
      </c>
      <c r="F8" s="9" t="n">
        <f aca="false">IF(OR(D8="",E8=""),1,MAX(1,DATEVALUE(E8)-DATEVALUE(D8)))</f>
        <v>3</v>
      </c>
      <c r="G8" s="11" t="n">
        <v>42828</v>
      </c>
      <c r="H8" s="11" t="n">
        <v>44055</v>
      </c>
      <c r="I8" s="11"/>
      <c r="J8" s="11"/>
      <c r="K8" s="11"/>
      <c r="L8" s="12" t="n">
        <v>461.83</v>
      </c>
      <c r="M8" s="13" t="n">
        <v>0.12</v>
      </c>
      <c r="N8" s="14" t="n">
        <f aca="false">IF(G8="","",G8/F8)</f>
        <v>14276</v>
      </c>
      <c r="O8" s="14" t="n">
        <f aca="false">IF(COUNT(H8:K8)=0,"",MIN(H8:K8)/F8)</f>
        <v>14685</v>
      </c>
      <c r="P8" s="14" t="n">
        <f aca="false">IF(L8="","",L8*95/F8)</f>
        <v>14624.6166666667</v>
      </c>
      <c r="Q8" s="15" t="n">
        <f aca="false">IF(OR(N8="",O8=""),"",(IF(AND(N8&gt;7500,O8&gt;7500),O8/(1+IF(O8&lt;=1000,0,IF(O8&lt;=7500,0.05,0.18)))-IF(AND(N8&gt;7500,O8&gt;7500),N8/1.18,N8),(O8-IF(AND(N8&gt;7500,O8&gt;7500),N8/1.18,N8))/(1+IF(O8&lt;=1000,0,IF(O8&lt;=7500,0.05,0.18)))))/(IF(AND(N8&gt;7500,O8&gt;7500),N8/1.18,N8)))</f>
        <v>0.0286494816475203</v>
      </c>
      <c r="R8" s="15" t="n">
        <f aca="false">IF(OR(N8="",O8=""),"",((O8-N8)/1.18)/N8)</f>
        <v>0.0242792217351867</v>
      </c>
      <c r="S8" s="15" t="n">
        <f aca="false">IF(OR(P8="",O8=""),"",(P8-O8)/O8)</f>
        <v>-0.00411190557257972</v>
      </c>
      <c r="T8" s="9" t="str">
        <f aca="false">IF(AND(D8="",G8&lt;&gt;""),"no dates - assumed 1 night",IF(Q8="","",IF(Q8&gt;1.5,"check: markup &gt;150%",IF(Q8&lt;0,"below cost",""))))</f>
        <v/>
      </c>
    </row>
    <row r="9" customFormat="false" ht="15" hidden="false" customHeight="false" outlineLevel="0" collapsed="false">
      <c r="A9" s="9" t="s">
        <v>9</v>
      </c>
      <c r="B9" s="9" t="s">
        <v>53</v>
      </c>
      <c r="C9" s="9" t="s">
        <v>50</v>
      </c>
      <c r="D9" s="10" t="s">
        <v>51</v>
      </c>
      <c r="E9" s="10" t="s">
        <v>52</v>
      </c>
      <c r="F9" s="9" t="n">
        <f aca="false">IF(OR(D9="",E9=""),1,MAX(1,DATEVALUE(E9)-DATEVALUE(D9)))</f>
        <v>3</v>
      </c>
      <c r="G9" s="11" t="n">
        <v>56107</v>
      </c>
      <c r="H9" s="11" t="n">
        <v>58410</v>
      </c>
      <c r="I9" s="11"/>
      <c r="J9" s="11"/>
      <c r="K9" s="11"/>
      <c r="L9" s="12" t="n">
        <v>612.31</v>
      </c>
      <c r="M9" s="13" t="n">
        <v>0.12</v>
      </c>
      <c r="N9" s="14" t="n">
        <f aca="false">IF(G9="","",G9/F9)</f>
        <v>18702.3333333333</v>
      </c>
      <c r="O9" s="14" t="n">
        <f aca="false">IF(COUNT(H9:K9)=0,"",MIN(H9:K9)/F9)</f>
        <v>19470</v>
      </c>
      <c r="P9" s="14" t="n">
        <f aca="false">IF(L9="","",L9*95/F9)</f>
        <v>19389.8166666667</v>
      </c>
      <c r="Q9" s="15" t="n">
        <f aca="false">IF(OR(N9="",O9=""),"",(IF(AND(N9&gt;7500,O9&gt;7500),O9/(1+IF(O9&lt;=1000,0,IF(O9&lt;=7500,0.05,0.18)))-IF(AND(N9&gt;7500,O9&gt;7500),N9/1.18,N9),(O9-IF(AND(N9&gt;7500,O9&gt;7500),N9/1.18,N9))/(1+IF(O9&lt;=1000,0,IF(O9&lt;=7500,0.05,0.18)))))/(IF(AND(N9&gt;7500,O9&gt;7500),N9/1.18,N9)))</f>
        <v>0.0410465717290178</v>
      </c>
      <c r="R9" s="15" t="n">
        <f aca="false">IF(OR(N9="",O9=""),"",((O9-N9)/1.18)/N9)</f>
        <v>0.0347852302788287</v>
      </c>
      <c r="S9" s="15" t="n">
        <f aca="false">IF(OR(P9="",O9=""),"",(P9-O9)/O9)</f>
        <v>-0.00411830166067459</v>
      </c>
      <c r="T9" s="9" t="str">
        <f aca="false">IF(AND(D9="",G9&lt;&gt;""),"no dates - assumed 1 night",IF(Q9="","",IF(Q9&gt;1.5,"check: markup &gt;150%",IF(Q9&lt;0,"below cost",""))))</f>
        <v/>
      </c>
    </row>
    <row r="10" customFormat="false" ht="15" hidden="false" customHeight="false" outlineLevel="0" collapsed="false">
      <c r="A10" s="9" t="s">
        <v>9</v>
      </c>
      <c r="B10" s="9" t="s">
        <v>53</v>
      </c>
      <c r="C10" s="9" t="s">
        <v>54</v>
      </c>
      <c r="D10" s="10" t="s">
        <v>55</v>
      </c>
      <c r="E10" s="10" t="s">
        <v>56</v>
      </c>
      <c r="F10" s="9" t="n">
        <f aca="false">IF(OR(D10="",E10=""),1,MAX(1,DATEVALUE(E10)-DATEVALUE(D10)))</f>
        <v>3</v>
      </c>
      <c r="G10" s="11" t="n">
        <v>61890</v>
      </c>
      <c r="H10" s="11" t="n">
        <v>66700</v>
      </c>
      <c r="I10" s="11"/>
      <c r="J10" s="11"/>
      <c r="K10" s="11"/>
      <c r="L10" s="12" t="n">
        <v>678.68</v>
      </c>
      <c r="M10" s="13" t="n">
        <v>0.06</v>
      </c>
      <c r="N10" s="14" t="n">
        <f aca="false">IF(G10="","",G10/F10)</f>
        <v>20630</v>
      </c>
      <c r="O10" s="14" t="n">
        <f aca="false">IF(COUNT(H10:K10)=0,"",MIN(H10:K10)/F10)</f>
        <v>22233.3333333333</v>
      </c>
      <c r="P10" s="14" t="n">
        <f aca="false">IF(L10="","",L10*95/F10)</f>
        <v>21491.5333333333</v>
      </c>
      <c r="Q10" s="15" t="n">
        <f aca="false">IF(OR(N10="",O10=""),"",(IF(AND(N10&gt;7500,O10&gt;7500),O10/(1+IF(O10&lt;=1000,0,IF(O10&lt;=7500,0.05,0.18)))-IF(AND(N10&gt;7500,O10&gt;7500),N10/1.18,N10),(O10-IF(AND(N10&gt;7500,O10&gt;7500),N10/1.18,N10))/(1+IF(O10&lt;=1000,0,IF(O10&lt;=7500,0.05,0.18)))))/(IF(AND(N10&gt;7500,O10&gt;7500),N10/1.18,N10)))</f>
        <v>0.0777185328809177</v>
      </c>
      <c r="R10" s="15" t="n">
        <f aca="false">IF(OR(N10="",O10=""),"",((O10-N10)/1.18)/N10)</f>
        <v>0.0658631634584048</v>
      </c>
      <c r="S10" s="15" t="n">
        <f aca="false">IF(OR(P10="",O10=""),"",(P10-O10)/O10)</f>
        <v>-0.0333643178410794</v>
      </c>
      <c r="T10" s="9" t="str">
        <f aca="false">IF(AND(D10="",G10&lt;&gt;""),"no dates - assumed 1 night",IF(Q10="","",IF(Q10&gt;1.5,"check: markup &gt;150%",IF(Q10&lt;0,"below cost",""))))</f>
        <v/>
      </c>
    </row>
    <row r="11" customFormat="false" ht="15" hidden="false" customHeight="false" outlineLevel="0" collapsed="false">
      <c r="A11" s="9" t="s">
        <v>9</v>
      </c>
      <c r="B11" s="9" t="s">
        <v>57</v>
      </c>
      <c r="C11" s="9" t="s">
        <v>41</v>
      </c>
      <c r="D11" s="10" t="s">
        <v>42</v>
      </c>
      <c r="E11" s="10" t="s">
        <v>43</v>
      </c>
      <c r="F11" s="9" t="n">
        <f aca="false">IF(OR(D11="",E11=""),1,MAX(1,DATEVALUE(E11)-DATEVALUE(D11)))</f>
        <v>3</v>
      </c>
      <c r="G11" s="11" t="n">
        <v>10697</v>
      </c>
      <c r="H11" s="11" t="n">
        <v>12855</v>
      </c>
      <c r="I11" s="11"/>
      <c r="J11" s="11"/>
      <c r="K11" s="11"/>
      <c r="L11" s="12" t="n">
        <v>150.28</v>
      </c>
      <c r="M11" s="13" t="n">
        <v>0.12</v>
      </c>
      <c r="N11" s="14" t="n">
        <f aca="false">IF(G11="","",G11/F11)</f>
        <v>3565.66666666667</v>
      </c>
      <c r="O11" s="14" t="n">
        <f aca="false">IF(COUNT(H11:K11)=0,"",MIN(H11:K11)/F11)</f>
        <v>4285</v>
      </c>
      <c r="P11" s="14" t="n">
        <f aca="false">IF(L11="","",L11*95/F11)</f>
        <v>4758.86666666667</v>
      </c>
      <c r="Q11" s="15" t="n">
        <f aca="false">IF(OR(N11="",O11=""),"",(IF(AND(N11&gt;7500,O11&gt;7500),O11/(1+IF(O11&lt;=1000,0,IF(O11&lt;=7500,0.05,0.18)))-IF(AND(N11&gt;7500,O11&gt;7500),N11/1.18,N11),(O11-IF(AND(N11&gt;7500,O11&gt;7500),N11/1.18,N11))/(1+IF(O11&lt;=1000,0,IF(O11&lt;=7500,0.05,0.18)))))/(IF(AND(N11&gt;7500,O11&gt;7500),N11/1.18,N11)))</f>
        <v>0.192132195497625</v>
      </c>
      <c r="R11" s="15" t="n">
        <f aca="false">IF(OR(N11="",O11=""),"",((O11-N11)/1.18)/N11)</f>
        <v>0.170965089213988</v>
      </c>
      <c r="S11" s="15" t="n">
        <f aca="false">IF(OR(P11="",O11=""),"",(P11-O11)/O11)</f>
        <v>0.110587320108907</v>
      </c>
      <c r="T11" s="9" t="str">
        <f aca="false">IF(AND(D11="",G11&lt;&gt;""),"no dates - assumed 1 night",IF(Q11="","",IF(Q11&gt;1.5,"check: markup &gt;150%",IF(Q11&lt;0,"below cost",""))))</f>
        <v/>
      </c>
    </row>
    <row r="12" customFormat="false" ht="15" hidden="false" customHeight="false" outlineLevel="0" collapsed="false">
      <c r="A12" s="9" t="s">
        <v>9</v>
      </c>
      <c r="B12" s="9" t="s">
        <v>57</v>
      </c>
      <c r="C12" s="9" t="s">
        <v>44</v>
      </c>
      <c r="D12" s="10" t="s">
        <v>45</v>
      </c>
      <c r="E12" s="10" t="s">
        <v>46</v>
      </c>
      <c r="F12" s="9" t="n">
        <f aca="false">IF(OR(D12="",E12=""),1,MAX(1,DATEVALUE(E12)-DATEVALUE(D12)))</f>
        <v>3</v>
      </c>
      <c r="G12" s="11" t="n">
        <v>9607</v>
      </c>
      <c r="H12" s="11" t="n">
        <v>11656</v>
      </c>
      <c r="I12" s="11"/>
      <c r="J12" s="11"/>
      <c r="K12" s="11"/>
      <c r="L12" s="12" t="n">
        <v>137.22</v>
      </c>
      <c r="M12" s="13" t="n">
        <v>0.12</v>
      </c>
      <c r="N12" s="14" t="n">
        <f aca="false">IF(G12="","",G12/F12)</f>
        <v>3202.33333333333</v>
      </c>
      <c r="O12" s="14" t="n">
        <f aca="false">IF(COUNT(H12:K12)=0,"",MIN(H12:K12)/F12)</f>
        <v>3885.33333333333</v>
      </c>
      <c r="P12" s="14" t="n">
        <f aca="false">IF(L12="","",L12*95/F12)</f>
        <v>4345.3</v>
      </c>
      <c r="Q12" s="15" t="n">
        <f aca="false">IF(OR(N12="",O12=""),"",(IF(AND(N12&gt;7500,O12&gt;7500),O12/(1+IF(O12&lt;=1000,0,IF(O12&lt;=7500,0.05,0.18)))-IF(AND(N12&gt;7500,O12&gt;7500),N12/1.18,N12),(O12-IF(AND(N12&gt;7500,O12&gt;7500),N12/1.18,N12))/(1+IF(O12&lt;=1000,0,IF(O12&lt;=7500,0.05,0.18)))))/(IF(AND(N12&gt;7500,O12&gt;7500),N12/1.18,N12)))</f>
        <v>0.203125697036387</v>
      </c>
      <c r="R12" s="15" t="n">
        <f aca="false">IF(OR(N12="",O12=""),"",((O12-N12)/1.18)/N12)</f>
        <v>0.180747442278141</v>
      </c>
      <c r="S12" s="15" t="n">
        <f aca="false">IF(OR(P12="",O12=""),"",(P12-O12)/O12)</f>
        <v>0.118385380919698</v>
      </c>
      <c r="T12" s="9" t="str">
        <f aca="false">IF(AND(D12="",G12&lt;&gt;""),"no dates - assumed 1 night",IF(Q12="","",IF(Q12&gt;1.5,"check: markup &gt;150%",IF(Q12&lt;0,"below cost",""))))</f>
        <v/>
      </c>
    </row>
    <row r="13" customFormat="false" ht="15" hidden="false" customHeight="false" outlineLevel="0" collapsed="false">
      <c r="A13" s="9" t="s">
        <v>9</v>
      </c>
      <c r="B13" s="9" t="s">
        <v>57</v>
      </c>
      <c r="C13" s="9" t="s">
        <v>47</v>
      </c>
      <c r="D13" s="10" t="s">
        <v>48</v>
      </c>
      <c r="E13" s="10" t="s">
        <v>49</v>
      </c>
      <c r="F13" s="9" t="n">
        <f aca="false">IF(OR(D13="",E13=""),1,MAX(1,DATEVALUE(E13)-DATEVALUE(D13)))</f>
        <v>3</v>
      </c>
      <c r="G13" s="11" t="n">
        <v>20315</v>
      </c>
      <c r="H13" s="11" t="n">
        <v>26617</v>
      </c>
      <c r="I13" s="11"/>
      <c r="J13" s="11"/>
      <c r="K13" s="11"/>
      <c r="L13" s="12" t="n">
        <v>282</v>
      </c>
      <c r="M13" s="13" t="n">
        <v>0.12</v>
      </c>
      <c r="N13" s="14" t="n">
        <f aca="false">IF(G13="","",G13/F13)</f>
        <v>6771.66666666667</v>
      </c>
      <c r="O13" s="14" t="n">
        <f aca="false">IF(COUNT(H13:K13)=0,"",MIN(H13:K13)/F13)</f>
        <v>8872.33333333333</v>
      </c>
      <c r="P13" s="14" t="n">
        <f aca="false">IF(L13="","",L13*95/F13)</f>
        <v>8930</v>
      </c>
      <c r="Q13" s="15" t="n">
        <f aca="false">IF(OR(N13="",O13=""),"",(IF(AND(N13&gt;7500,O13&gt;7500),O13/(1+IF(O13&lt;=1000,0,IF(O13&lt;=7500,0.05,0.18)))-IF(AND(N13&gt;7500,O13&gt;7500),N13/1.18,N13),(O13-IF(AND(N13&gt;7500,O13&gt;7500),N13/1.18,N13))/(1+IF(O13&lt;=1000,0,IF(O13&lt;=7500,0.05,0.18)))))/(IF(AND(N13&gt;7500,O13&gt;7500),N13/1.18,N13)))</f>
        <v>0.262893328383052</v>
      </c>
      <c r="R13" s="15" t="n">
        <f aca="false">IF(OR(N13="",O13=""),"",((O13-N13)/1.18)/N13)</f>
        <v>0.262893328383052</v>
      </c>
      <c r="S13" s="15" t="n">
        <f aca="false">IF(OR(P13="",O13=""),"",(P13-O13)/O13)</f>
        <v>0.00649960551527213</v>
      </c>
      <c r="T13" s="9" t="str">
        <f aca="false">IF(AND(D13="",G13&lt;&gt;""),"no dates - assumed 1 night",IF(Q13="","",IF(Q13&gt;1.5,"check: markup &gt;150%",IF(Q13&lt;0,"below cost",""))))</f>
        <v/>
      </c>
    </row>
    <row r="14" customFormat="false" ht="15" hidden="false" customHeight="false" outlineLevel="0" collapsed="false">
      <c r="A14" s="9" t="s">
        <v>9</v>
      </c>
      <c r="B14" s="9" t="s">
        <v>57</v>
      </c>
      <c r="C14" s="9" t="s">
        <v>50</v>
      </c>
      <c r="D14" s="10" t="s">
        <v>51</v>
      </c>
      <c r="E14" s="10" t="s">
        <v>52</v>
      </c>
      <c r="F14" s="9" t="n">
        <f aca="false">IF(OR(D14="",E14=""),1,MAX(1,DATEVALUE(E14)-DATEVALUE(D14)))</f>
        <v>3</v>
      </c>
      <c r="G14" s="11" t="n">
        <v>27648</v>
      </c>
      <c r="H14" s="11" t="n">
        <v>34311</v>
      </c>
      <c r="I14" s="11"/>
      <c r="J14" s="11"/>
      <c r="K14" s="11"/>
      <c r="L14" s="12" t="n">
        <v>331.8</v>
      </c>
      <c r="M14" s="13" t="n">
        <v>0.12</v>
      </c>
      <c r="N14" s="14" t="n">
        <f aca="false">IF(G14="","",G14/F14)</f>
        <v>9216</v>
      </c>
      <c r="O14" s="14" t="n">
        <f aca="false">IF(COUNT(H14:K14)=0,"",MIN(H14:K14)/F14)</f>
        <v>11437</v>
      </c>
      <c r="P14" s="14" t="n">
        <f aca="false">IF(L14="","",L14*95/F14)</f>
        <v>10507</v>
      </c>
      <c r="Q14" s="15" t="n">
        <f aca="false">IF(OR(N14="",O14=""),"",(IF(AND(N14&gt;7500,O14&gt;7500),O14/(1+IF(O14&lt;=1000,0,IF(O14&lt;=7500,0.05,0.18)))-IF(AND(N14&gt;7500,O14&gt;7500),N14/1.18,N14),(O14-IF(AND(N14&gt;7500,O14&gt;7500),N14/1.18,N14))/(1+IF(O14&lt;=1000,0,IF(O14&lt;=7500,0.05,0.18)))))/(IF(AND(N14&gt;7500,O14&gt;7500),N14/1.18,N14)))</f>
        <v>0.240993923611111</v>
      </c>
      <c r="R14" s="15" t="n">
        <f aca="false">IF(OR(N14="",O14=""),"",((O14-N14)/1.18)/N14)</f>
        <v>0.204232138653484</v>
      </c>
      <c r="S14" s="15" t="n">
        <f aca="false">IF(OR(P14="",O14=""),"",(P14-O14)/O14)</f>
        <v>-0.0813150301652531</v>
      </c>
      <c r="T14" s="9" t="str">
        <f aca="false">IF(AND(D14="",G14&lt;&gt;""),"no dates - assumed 1 night",IF(Q14="","",IF(Q14&gt;1.5,"check: markup &gt;150%",IF(Q14&lt;0,"below cost",""))))</f>
        <v/>
      </c>
    </row>
    <row r="15" customFormat="false" ht="15" hidden="false" customHeight="false" outlineLevel="0" collapsed="false">
      <c r="A15" s="9" t="s">
        <v>9</v>
      </c>
      <c r="B15" s="9" t="s">
        <v>57</v>
      </c>
      <c r="C15" s="9" t="s">
        <v>54</v>
      </c>
      <c r="D15" s="10" t="s">
        <v>55</v>
      </c>
      <c r="E15" s="10" t="s">
        <v>56</v>
      </c>
      <c r="F15" s="9" t="n">
        <f aca="false">IF(OR(D15="",E15=""),1,MAX(1,DATEVALUE(E15)-DATEVALUE(D15)))</f>
        <v>3</v>
      </c>
      <c r="G15" s="11" t="n">
        <v>36602</v>
      </c>
      <c r="H15" s="11" t="n">
        <v>39931</v>
      </c>
      <c r="I15" s="11"/>
      <c r="J15" s="11"/>
      <c r="K15" s="11"/>
      <c r="L15" s="12" t="n">
        <v>445.32</v>
      </c>
      <c r="M15" s="13" t="n">
        <v>0.12</v>
      </c>
      <c r="N15" s="14" t="n">
        <f aca="false">IF(G15="","",G15/F15)</f>
        <v>12200.6666666667</v>
      </c>
      <c r="O15" s="14" t="n">
        <f aca="false">IF(COUNT(H15:K15)=0,"",MIN(H15:K15)/F15)</f>
        <v>13310.3333333333</v>
      </c>
      <c r="P15" s="14" t="n">
        <f aca="false">IF(L15="","",L15*95/F15)</f>
        <v>14101.8</v>
      </c>
      <c r="Q15" s="15" t="n">
        <f aca="false">IF(OR(N15="",O15=""),"",(IF(AND(N15&gt;7500,O15&gt;7500),O15/(1+IF(O15&lt;=1000,0,IF(O15&lt;=7500,0.05,0.18)))-IF(AND(N15&gt;7500,O15&gt;7500),N15/1.18,N15),(O15-IF(AND(N15&gt;7500,O15&gt;7500),N15/1.18,N15))/(1+IF(O15&lt;=1000,0,IF(O15&lt;=7500,0.05,0.18)))))/(IF(AND(N15&gt;7500,O15&gt;7500),N15/1.18,N15)))</f>
        <v>0.0909513141358396</v>
      </c>
      <c r="R15" s="15" t="n">
        <f aca="false">IF(OR(N15="",O15=""),"",((O15-N15)/1.18)/N15)</f>
        <v>0.0770773848608811</v>
      </c>
      <c r="S15" s="15" t="n">
        <f aca="false">IF(OR(P15="",O15=""),"",(P15-O15)/O15)</f>
        <v>0.0594625729383186</v>
      </c>
      <c r="T15" s="9" t="str">
        <f aca="false">IF(AND(D15="",G15&lt;&gt;""),"no dates - assumed 1 night",IF(Q15="","",IF(Q15&gt;1.5,"check: markup &gt;150%",IF(Q15&lt;0,"below cost",""))))</f>
        <v/>
      </c>
    </row>
    <row r="16" customFormat="false" ht="15" hidden="false" customHeight="false" outlineLevel="0" collapsed="false">
      <c r="A16" s="9" t="s">
        <v>9</v>
      </c>
      <c r="B16" s="9" t="s">
        <v>58</v>
      </c>
      <c r="C16" s="9" t="s">
        <v>41</v>
      </c>
      <c r="D16" s="10" t="s">
        <v>42</v>
      </c>
      <c r="E16" s="10" t="s">
        <v>43</v>
      </c>
      <c r="F16" s="9" t="n">
        <f aca="false">IF(OR(D16="",E16=""),1,MAX(1,DATEVALUE(E16)-DATEVALUE(D16)))</f>
        <v>3</v>
      </c>
      <c r="G16" s="11" t="n">
        <v>46112</v>
      </c>
      <c r="H16" s="11" t="n">
        <v>59021</v>
      </c>
      <c r="I16" s="11"/>
      <c r="J16" s="11"/>
      <c r="K16" s="11"/>
      <c r="L16" s="12" t="n">
        <v>539.24</v>
      </c>
      <c r="M16" s="13" t="n">
        <v>0.23</v>
      </c>
      <c r="N16" s="14" t="n">
        <f aca="false">IF(G16="","",G16/F16)</f>
        <v>15370.6666666667</v>
      </c>
      <c r="O16" s="14" t="n">
        <f aca="false">IF(COUNT(H16:K16)=0,"",MIN(H16:K16)/F16)</f>
        <v>19673.6666666667</v>
      </c>
      <c r="P16" s="14" t="n">
        <f aca="false">IF(L16="","",L16*95/F16)</f>
        <v>17075.9333333333</v>
      </c>
      <c r="Q16" s="15" t="n">
        <f aca="false">IF(OR(N16="",O16=""),"",(IF(AND(N16&gt;7500,O16&gt;7500),O16/(1+IF(O16&lt;=1000,0,IF(O16&lt;=7500,0.05,0.18)))-IF(AND(N16&gt;7500,O16&gt;7500),N16/1.18,N16),(O16-IF(AND(N16&gt;7500,O16&gt;7500),N16/1.18,N16))/(1+IF(O16&lt;=1000,0,IF(O16&lt;=7500,0.05,0.18)))))/(IF(AND(N16&gt;7500,O16&gt;7500),N16/1.18,N16)))</f>
        <v>0.279948820263706</v>
      </c>
      <c r="R16" s="15" t="n">
        <f aca="false">IF(OR(N16="",O16=""),"",((O16-N16)/1.18)/N16)</f>
        <v>0.237244762935344</v>
      </c>
      <c r="S16" s="15" t="n">
        <f aca="false">IF(OR(P16="",O16=""),"",(P16-O16)/O16)</f>
        <v>-0.132041137900069</v>
      </c>
      <c r="T16" s="9" t="str">
        <f aca="false">IF(AND(D16="",G16&lt;&gt;""),"no dates - assumed 1 night",IF(Q16="","",IF(Q16&gt;1.5,"check: markup &gt;150%",IF(Q16&lt;0,"below cost",""))))</f>
        <v/>
      </c>
    </row>
    <row r="17" customFormat="false" ht="15" hidden="false" customHeight="false" outlineLevel="0" collapsed="false">
      <c r="A17" s="9" t="s">
        <v>9</v>
      </c>
      <c r="B17" s="9" t="s">
        <v>58</v>
      </c>
      <c r="C17" s="9" t="s">
        <v>44</v>
      </c>
      <c r="D17" s="10" t="s">
        <v>42</v>
      </c>
      <c r="E17" s="10" t="s">
        <v>43</v>
      </c>
      <c r="F17" s="9" t="n">
        <f aca="false">IF(OR(D17="",E17=""),1,MAX(1,DATEVALUE(E17)-DATEVALUE(D17)))</f>
        <v>3</v>
      </c>
      <c r="G17" s="11" t="n">
        <v>35981</v>
      </c>
      <c r="H17" s="11" t="n">
        <v>45681</v>
      </c>
      <c r="I17" s="11"/>
      <c r="J17" s="11"/>
      <c r="K17" s="11"/>
      <c r="L17" s="12" t="n">
        <v>461.5</v>
      </c>
      <c r="M17" s="13" t="n">
        <v>0.22</v>
      </c>
      <c r="N17" s="14" t="n">
        <f aca="false">IF(G17="","",G17/F17)</f>
        <v>11993.6666666667</v>
      </c>
      <c r="O17" s="14" t="n">
        <f aca="false">IF(COUNT(H17:K17)=0,"",MIN(H17:K17)/F17)</f>
        <v>15227</v>
      </c>
      <c r="P17" s="14" t="n">
        <f aca="false">IF(L17="","",L17*95/F17)</f>
        <v>14614.1666666667</v>
      </c>
      <c r="Q17" s="15" t="n">
        <f aca="false">IF(OR(N17="",O17=""),"",(IF(AND(N17&gt;7500,O17&gt;7500),O17/(1+IF(O17&lt;=1000,0,IF(O17&lt;=7500,0.05,0.18)))-IF(AND(N17&gt;7500,O17&gt;7500),N17/1.18,N17),(O17-IF(AND(N17&gt;7500,O17&gt;7500),N17/1.18,N17))/(1+IF(O17&lt;=1000,0,IF(O17&lt;=7500,0.05,0.18)))))/(IF(AND(N17&gt;7500,O17&gt;7500),N17/1.18,N17)))</f>
        <v>0.269586726327784</v>
      </c>
      <c r="R17" s="15" t="n">
        <f aca="false">IF(OR(N17="",O17=""),"",((O17-N17)/1.18)/N17)</f>
        <v>0.228463327396427</v>
      </c>
      <c r="S17" s="15" t="n">
        <f aca="false">IF(OR(P17="",O17=""),"",(P17-O17)/O17)</f>
        <v>-0.0402464919769708</v>
      </c>
      <c r="T17" s="9" t="str">
        <f aca="false">IF(AND(D17="",G17&lt;&gt;""),"no dates - assumed 1 night",IF(Q17="","",IF(Q17&gt;1.5,"check: markup &gt;150%",IF(Q17&lt;0,"below cost",""))))</f>
        <v/>
      </c>
    </row>
    <row r="18" customFormat="false" ht="15" hidden="false" customHeight="false" outlineLevel="0" collapsed="false">
      <c r="A18" s="9" t="s">
        <v>9</v>
      </c>
      <c r="B18" s="9" t="s">
        <v>58</v>
      </c>
      <c r="C18" s="9" t="s">
        <v>47</v>
      </c>
      <c r="D18" s="10" t="s">
        <v>48</v>
      </c>
      <c r="E18" s="10" t="s">
        <v>49</v>
      </c>
      <c r="F18" s="9" t="n">
        <f aca="false">IF(OR(D18="",E18=""),1,MAX(1,DATEVALUE(E18)-DATEVALUE(D18)))</f>
        <v>3</v>
      </c>
      <c r="G18" s="11" t="n">
        <v>132216</v>
      </c>
      <c r="H18" s="11" t="n">
        <v>170460</v>
      </c>
      <c r="I18" s="11"/>
      <c r="J18" s="11"/>
      <c r="K18" s="11"/>
      <c r="L18" s="12" t="n">
        <v>1595.61</v>
      </c>
      <c r="M18" s="13" t="n">
        <v>0.16</v>
      </c>
      <c r="N18" s="14" t="n">
        <f aca="false">IF(G18="","",G18/F18)</f>
        <v>44072</v>
      </c>
      <c r="O18" s="14" t="n">
        <f aca="false">IF(COUNT(H18:K18)=0,"",MIN(H18:K18)/F18)</f>
        <v>56820</v>
      </c>
      <c r="P18" s="14" t="n">
        <f aca="false">IF(L18="","",L18*95/F18)</f>
        <v>50527.65</v>
      </c>
      <c r="Q18" s="15" t="n">
        <f aca="false">IF(OR(N18="",O18=""),"",(IF(AND(N18&gt;7500,O18&gt;7500),O18/(1+IF(O18&lt;=1000,0,IF(O18&lt;=7500,0.05,0.18)))-IF(AND(N18&gt;7500,O18&gt;7500),N18/1.18,N18),(O18-IF(AND(N18&gt;7500,O18&gt;7500),N18/1.18,N18))/(1+IF(O18&lt;=1000,0,IF(O18&lt;=7500,0.05,0.18)))))/(IF(AND(N18&gt;7500,O18&gt;7500),N18/1.18,N18)))</f>
        <v>0.289253948084952</v>
      </c>
      <c r="R18" s="15" t="n">
        <f aca="false">IF(OR(N18="",O18=""),"",((O18-N18)/1.18)/N18)</f>
        <v>0.245130464478773</v>
      </c>
      <c r="S18" s="15" t="n">
        <f aca="false">IF(OR(P18="",O18=""),"",(P18-O18)/O18)</f>
        <v>-0.11074181626188</v>
      </c>
      <c r="T18" s="9" t="str">
        <f aca="false">IF(AND(D18="",G18&lt;&gt;""),"no dates - assumed 1 night",IF(Q18="","",IF(Q18&gt;1.5,"check: markup &gt;150%",IF(Q18&lt;0,"below cost",""))))</f>
        <v/>
      </c>
    </row>
    <row r="19" customFormat="false" ht="15" hidden="false" customHeight="false" outlineLevel="0" collapsed="false">
      <c r="A19" s="9" t="s">
        <v>9</v>
      </c>
      <c r="B19" s="9" t="s">
        <v>58</v>
      </c>
      <c r="C19" s="9" t="s">
        <v>50</v>
      </c>
      <c r="D19" s="10" t="s">
        <v>51</v>
      </c>
      <c r="E19" s="10" t="s">
        <v>52</v>
      </c>
      <c r="F19" s="9" t="n">
        <f aca="false">IF(OR(D19="",E19=""),1,MAX(1,DATEVALUE(E19)-DATEVALUE(D19)))</f>
        <v>3</v>
      </c>
      <c r="G19" s="11" t="n">
        <v>134063</v>
      </c>
      <c r="H19" s="11" t="n">
        <v>170460</v>
      </c>
      <c r="I19" s="11"/>
      <c r="J19" s="11"/>
      <c r="K19" s="11"/>
      <c r="L19" s="12" t="n">
        <v>1595.61</v>
      </c>
      <c r="M19" s="13" t="n">
        <v>0.16</v>
      </c>
      <c r="N19" s="14" t="n">
        <f aca="false">IF(G19="","",G19/F19)</f>
        <v>44687.6666666667</v>
      </c>
      <c r="O19" s="14" t="n">
        <f aca="false">IF(COUNT(H19:K19)=0,"",MIN(H19:K19)/F19)</f>
        <v>56820</v>
      </c>
      <c r="P19" s="14" t="n">
        <f aca="false">IF(L19="","",L19*95/F19)</f>
        <v>50527.65</v>
      </c>
      <c r="Q19" s="15" t="n">
        <f aca="false">IF(OR(N19="",O19=""),"",(IF(AND(N19&gt;7500,O19&gt;7500),O19/(1+IF(O19&lt;=1000,0,IF(O19&lt;=7500,0.05,0.18)))-IF(AND(N19&gt;7500,O19&gt;7500),N19/1.18,N19),(O19-IF(AND(N19&gt;7500,O19&gt;7500),N19/1.18,N19))/(1+IF(O19&lt;=1000,0,IF(O19&lt;=7500,0.05,0.18)))))/(IF(AND(N19&gt;7500,O19&gt;7500),N19/1.18,N19)))</f>
        <v>0.271491761336088</v>
      </c>
      <c r="R19" s="15" t="n">
        <f aca="false">IF(OR(N19="",O19=""),"",((O19-N19)/1.18)/N19)</f>
        <v>0.230077763844143</v>
      </c>
      <c r="S19" s="15" t="n">
        <f aca="false">IF(OR(P19="",O19=""),"",(P19-O19)/O19)</f>
        <v>-0.11074181626188</v>
      </c>
      <c r="T19" s="9" t="str">
        <f aca="false">IF(AND(D19="",G19&lt;&gt;""),"no dates - assumed 1 night",IF(Q19="","",IF(Q19&gt;1.5,"check: markup &gt;150%",IF(Q19&lt;0,"below cost",""))))</f>
        <v/>
      </c>
    </row>
    <row r="20" customFormat="false" ht="15" hidden="false" customHeight="false" outlineLevel="0" collapsed="false">
      <c r="A20" s="9" t="s">
        <v>9</v>
      </c>
      <c r="B20" s="9" t="s">
        <v>58</v>
      </c>
      <c r="C20" s="9" t="s">
        <v>54</v>
      </c>
      <c r="D20" s="10" t="s">
        <v>55</v>
      </c>
      <c r="E20" s="10" t="s">
        <v>56</v>
      </c>
      <c r="F20" s="9" t="n">
        <f aca="false">IF(OR(D20="",E20=""),1,MAX(1,DATEVALUE(E20)-DATEVALUE(D20)))</f>
        <v>3</v>
      </c>
      <c r="G20" s="11" t="n">
        <v>160516</v>
      </c>
      <c r="H20" s="11" t="n">
        <v>205916</v>
      </c>
      <c r="I20" s="11"/>
      <c r="J20" s="11"/>
      <c r="K20" s="11"/>
      <c r="L20" s="12" t="n">
        <v>1839.24</v>
      </c>
      <c r="M20" s="13" t="n">
        <v>0.12</v>
      </c>
      <c r="N20" s="14" t="n">
        <f aca="false">IF(G20="","",G20/F20)</f>
        <v>53505.3333333333</v>
      </c>
      <c r="O20" s="14" t="n">
        <f aca="false">IF(COUNT(H20:K20)=0,"",MIN(H20:K20)/F20)</f>
        <v>68638.6666666667</v>
      </c>
      <c r="P20" s="14" t="n">
        <f aca="false">IF(L20="","",L20*95/F20)</f>
        <v>58242.6</v>
      </c>
      <c r="Q20" s="15" t="n">
        <f aca="false">IF(OR(N20="",O20=""),"",(IF(AND(N20&gt;7500,O20&gt;7500),O20/(1+IF(O20&lt;=1000,0,IF(O20&lt;=7500,0.05,0.18)))-IF(AND(N20&gt;7500,O20&gt;7500),N20/1.18,N20),(O20-IF(AND(N20&gt;7500,O20&gt;7500),N20/1.18,N20))/(1+IF(O20&lt;=1000,0,IF(O20&lt;=7500,0.05,0.18)))))/(IF(AND(N20&gt;7500,O20&gt;7500),N20/1.18,N20)))</f>
        <v>0.282837847940392</v>
      </c>
      <c r="R20" s="15" t="n">
        <f aca="false">IF(OR(N20="",O20=""),"",((O20-N20)/1.18)/N20)</f>
        <v>0.239693091474909</v>
      </c>
      <c r="S20" s="15" t="n">
        <f aca="false">IF(OR(P20="",O20=""),"",(P20-O20)/O20)</f>
        <v>-0.151460789836633</v>
      </c>
      <c r="T20" s="9" t="str">
        <f aca="false">IF(AND(D20="",G20&lt;&gt;""),"no dates - assumed 1 night",IF(Q20="","",IF(Q20&gt;1.5,"check: markup &gt;150%",IF(Q20&lt;0,"below cost",""))))</f>
        <v/>
      </c>
    </row>
    <row r="21" customFormat="false" ht="15" hidden="false" customHeight="false" outlineLevel="0" collapsed="false">
      <c r="A21" s="9" t="s">
        <v>9</v>
      </c>
      <c r="B21" s="9" t="s">
        <v>59</v>
      </c>
      <c r="C21" s="9" t="s">
        <v>41</v>
      </c>
      <c r="D21" s="10" t="s">
        <v>42</v>
      </c>
      <c r="E21" s="10" t="s">
        <v>43</v>
      </c>
      <c r="F21" s="9" t="n">
        <f aca="false">IF(OR(D21="",E21=""),1,MAX(1,DATEVALUE(E21)-DATEVALUE(D21)))</f>
        <v>3</v>
      </c>
      <c r="G21" s="11" t="n">
        <v>66638</v>
      </c>
      <c r="H21" s="11" t="n">
        <v>84553</v>
      </c>
      <c r="I21" s="11"/>
      <c r="J21" s="11"/>
      <c r="K21" s="11"/>
      <c r="L21" s="12"/>
      <c r="M21" s="13"/>
      <c r="N21" s="14" t="n">
        <f aca="false">IF(G21="","",G21/F21)</f>
        <v>22212.6666666667</v>
      </c>
      <c r="O21" s="14" t="n">
        <f aca="false">IF(COUNT(H21:K21)=0,"",MIN(H21:K21)/F21)</f>
        <v>28184.3333333333</v>
      </c>
      <c r="P21" s="14" t="str">
        <f aca="false">IF(L21="","",L21*95/F21)</f>
        <v/>
      </c>
      <c r="Q21" s="15" t="n">
        <f aca="false">IF(OR(N21="",O21=""),"",(IF(AND(N21&gt;7500,O21&gt;7500),O21/(1+IF(O21&lt;=1000,0,IF(O21&lt;=7500,0.05,0.18)))-IF(AND(N21&gt;7500,O21&gt;7500),N21/1.18,N21),(O21-IF(AND(N21&gt;7500,O21&gt;7500),N21/1.18,N21))/(1+IF(O21&lt;=1000,0,IF(O21&lt;=7500,0.05,0.18)))))/(IF(AND(N21&gt;7500,O21&gt;7500),N21/1.18,N21)))</f>
        <v>0.268840601458627</v>
      </c>
      <c r="R21" s="15" t="n">
        <f aca="false">IF(OR(N21="",O21=""),"",((O21-N21)/1.18)/N21)</f>
        <v>0.227831018185277</v>
      </c>
      <c r="S21" s="15" t="str">
        <f aca="false">IF(OR(P21="",O21=""),"",(P21-O21)/O21)</f>
        <v/>
      </c>
      <c r="T21" s="9" t="str">
        <f aca="false">IF(AND(D21="",G21&lt;&gt;""),"no dates - assumed 1 night",IF(Q21="","",IF(Q21&gt;1.5,"check: markup &gt;150%",IF(Q21&lt;0,"below cost",""))))</f>
        <v/>
      </c>
    </row>
    <row r="22" customFormat="false" ht="15" hidden="false" customHeight="false" outlineLevel="0" collapsed="false">
      <c r="A22" s="9" t="s">
        <v>9</v>
      </c>
      <c r="B22" s="9" t="s">
        <v>59</v>
      </c>
      <c r="C22" s="9" t="s">
        <v>44</v>
      </c>
      <c r="D22" s="10" t="s">
        <v>45</v>
      </c>
      <c r="E22" s="10" t="s">
        <v>46</v>
      </c>
      <c r="F22" s="9" t="n">
        <f aca="false">IF(OR(D22="",E22=""),1,MAX(1,DATEVALUE(E22)-DATEVALUE(D22)))</f>
        <v>3</v>
      </c>
      <c r="G22" s="11" t="n">
        <v>54451</v>
      </c>
      <c r="H22" s="11" t="n">
        <v>68440</v>
      </c>
      <c r="I22" s="11"/>
      <c r="J22" s="11"/>
      <c r="K22" s="11"/>
      <c r="L22" s="12"/>
      <c r="M22" s="13"/>
      <c r="N22" s="14" t="n">
        <f aca="false">IF(G22="","",G22/F22)</f>
        <v>18150.3333333333</v>
      </c>
      <c r="O22" s="14" t="n">
        <f aca="false">IF(COUNT(H22:K22)=0,"",MIN(H22:K22)/F22)</f>
        <v>22813.3333333333</v>
      </c>
      <c r="P22" s="14" t="str">
        <f aca="false">IF(L22="","",L22*95/F22)</f>
        <v/>
      </c>
      <c r="Q22" s="15" t="n">
        <f aca="false">IF(OR(N22="",O22=""),"",(IF(AND(N22&gt;7500,O22&gt;7500),O22/(1+IF(O22&lt;=1000,0,IF(O22&lt;=7500,0.05,0.18)))-IF(AND(N22&gt;7500,O22&gt;7500),N22/1.18,N22),(O22-IF(AND(N22&gt;7500,O22&gt;7500),N22/1.18,N22))/(1+IF(O22&lt;=1000,0,IF(O22&lt;=7500,0.05,0.18)))))/(IF(AND(N22&gt;7500,O22&gt;7500),N22/1.18,N22)))</f>
        <v>0.256909882279481</v>
      </c>
      <c r="R22" s="15" t="n">
        <f aca="false">IF(OR(N22="",O22=""),"",((O22-N22)/1.18)/N22)</f>
        <v>0.217720239219899</v>
      </c>
      <c r="S22" s="15" t="str">
        <f aca="false">IF(OR(P22="",O22=""),"",(P22-O22)/O22)</f>
        <v/>
      </c>
      <c r="T22" s="9" t="str">
        <f aca="false">IF(AND(D22="",G22&lt;&gt;""),"no dates - assumed 1 night",IF(Q22="","",IF(Q22&gt;1.5,"check: markup &gt;150%",IF(Q22&lt;0,"below cost",""))))</f>
        <v/>
      </c>
    </row>
    <row r="23" customFormat="false" ht="15" hidden="false" customHeight="false" outlineLevel="0" collapsed="false">
      <c r="A23" s="9" t="s">
        <v>9</v>
      </c>
      <c r="B23" s="9" t="s">
        <v>59</v>
      </c>
      <c r="C23" s="9" t="s">
        <v>47</v>
      </c>
      <c r="D23" s="10" t="s">
        <v>48</v>
      </c>
      <c r="E23" s="10" t="s">
        <v>49</v>
      </c>
      <c r="F23" s="9" t="n">
        <f aca="false">IF(OR(D23="",E23=""),1,MAX(1,DATEVALUE(E23)-DATEVALUE(D23)))</f>
        <v>3</v>
      </c>
      <c r="G23" s="11" t="n">
        <v>143111</v>
      </c>
      <c r="H23" s="11" t="n">
        <v>178953</v>
      </c>
      <c r="I23" s="11"/>
      <c r="J23" s="11"/>
      <c r="K23" s="11"/>
      <c r="L23" s="12"/>
      <c r="M23" s="13"/>
      <c r="N23" s="14" t="n">
        <f aca="false">IF(G23="","",G23/F23)</f>
        <v>47703.6666666667</v>
      </c>
      <c r="O23" s="14" t="n">
        <f aca="false">IF(COUNT(H23:K23)=0,"",MIN(H23:K23)/F23)</f>
        <v>59651</v>
      </c>
      <c r="P23" s="14" t="str">
        <f aca="false">IF(L23="","",L23*95/F23)</f>
        <v/>
      </c>
      <c r="Q23" s="15" t="n">
        <f aca="false">IF(OR(N23="",O23=""),"",(IF(AND(N23&gt;7500,O23&gt;7500),O23/(1+IF(O23&lt;=1000,0,IF(O23&lt;=7500,0.05,0.18)))-IF(AND(N23&gt;7500,O23&gt;7500),N23/1.18,N23),(O23-IF(AND(N23&gt;7500,O23&gt;7500),N23/1.18,N23))/(1+IF(O23&lt;=1000,0,IF(O23&lt;=7500,0.05,0.18)))))/(IF(AND(N23&gt;7500,O23&gt;7500),N23/1.18,N23)))</f>
        <v>0.250448952211919</v>
      </c>
      <c r="R23" s="15" t="n">
        <f aca="false">IF(OR(N23="",O23=""),"",((O23-N23)/1.18)/N23)</f>
        <v>0.212244874755864</v>
      </c>
      <c r="S23" s="15" t="str">
        <f aca="false">IF(OR(P23="",O23=""),"",(P23-O23)/O23)</f>
        <v/>
      </c>
      <c r="T23" s="9" t="str">
        <f aca="false">IF(AND(D23="",G23&lt;&gt;""),"no dates - assumed 1 night",IF(Q23="","",IF(Q23&gt;1.5,"check: markup &gt;150%",IF(Q23&lt;0,"below cost",""))))</f>
        <v/>
      </c>
    </row>
    <row r="24" customFormat="false" ht="15" hidden="false" customHeight="false" outlineLevel="0" collapsed="false">
      <c r="A24" s="9" t="s">
        <v>9</v>
      </c>
      <c r="B24" s="9" t="s">
        <v>59</v>
      </c>
      <c r="C24" s="9" t="s">
        <v>50</v>
      </c>
      <c r="D24" s="10" t="s">
        <v>51</v>
      </c>
      <c r="E24" s="10" t="s">
        <v>52</v>
      </c>
      <c r="F24" s="9" t="n">
        <f aca="false">IF(OR(D24="",E24=""),1,MAX(1,DATEVALUE(E24)-DATEVALUE(D24)))</f>
        <v>3</v>
      </c>
      <c r="G24" s="11" t="n">
        <v>269790</v>
      </c>
      <c r="H24" s="11" t="n">
        <v>342200</v>
      </c>
      <c r="I24" s="11"/>
      <c r="J24" s="11"/>
      <c r="K24" s="11"/>
      <c r="L24" s="12"/>
      <c r="M24" s="13"/>
      <c r="N24" s="14" t="n">
        <f aca="false">IF(G24="","",G24/F24)</f>
        <v>89930</v>
      </c>
      <c r="O24" s="14" t="n">
        <f aca="false">IF(COUNT(H24:K24)=0,"",MIN(H24:K24)/F24)</f>
        <v>114066.666666667</v>
      </c>
      <c r="P24" s="14" t="str">
        <f aca="false">IF(L24="","",L24*95/F24)</f>
        <v/>
      </c>
      <c r="Q24" s="15" t="n">
        <f aca="false">IF(OR(N24="",O24=""),"",(IF(AND(N24&gt;7500,O24&gt;7500),O24/(1+IF(O24&lt;=1000,0,IF(O24&lt;=7500,0.05,0.18)))-IF(AND(N24&gt;7500,O24&gt;7500),N24/1.18,N24),(O24-IF(AND(N24&gt;7500,O24&gt;7500),N24/1.18,N24))/(1+IF(O24&lt;=1000,0,IF(O24&lt;=7500,0.05,0.18)))))/(IF(AND(N24&gt;7500,O24&gt;7500),N24/1.18,N24)))</f>
        <v>0.268393936024315</v>
      </c>
      <c r="R24" s="15" t="n">
        <f aca="false">IF(OR(N24="",O24=""),"",((O24-N24)/1.18)/N24)</f>
        <v>0.227452488156199</v>
      </c>
      <c r="S24" s="15" t="str">
        <f aca="false">IF(OR(P24="",O24=""),"",(P24-O24)/O24)</f>
        <v/>
      </c>
      <c r="T24" s="9" t="str">
        <f aca="false">IF(AND(D24="",G24&lt;&gt;""),"no dates - assumed 1 night",IF(Q24="","",IF(Q24&gt;1.5,"check: markup &gt;150%",IF(Q24&lt;0,"below cost",""))))</f>
        <v/>
      </c>
    </row>
    <row r="25" customFormat="false" ht="15" hidden="false" customHeight="false" outlineLevel="0" collapsed="false">
      <c r="A25" s="9" t="s">
        <v>9</v>
      </c>
      <c r="B25" s="9" t="s">
        <v>59</v>
      </c>
      <c r="C25" s="9" t="s">
        <v>54</v>
      </c>
      <c r="D25" s="10" t="s">
        <v>55</v>
      </c>
      <c r="E25" s="10" t="s">
        <v>56</v>
      </c>
      <c r="F25" s="9" t="n">
        <f aca="false">IF(OR(D25="",E25=""),1,MAX(1,DATEVALUE(E25)-DATEVALUE(D25)))</f>
        <v>3</v>
      </c>
      <c r="G25" s="11" t="n">
        <v>98648</v>
      </c>
      <c r="H25" s="11" t="n">
        <v>103840</v>
      </c>
      <c r="I25" s="11"/>
      <c r="J25" s="11"/>
      <c r="K25" s="11"/>
      <c r="L25" s="12"/>
      <c r="M25" s="13"/>
      <c r="N25" s="14" t="n">
        <f aca="false">IF(G25="","",G25/F25)</f>
        <v>32882.6666666667</v>
      </c>
      <c r="O25" s="14" t="n">
        <f aca="false">IF(COUNT(H25:K25)=0,"",MIN(H25:K25)/F25)</f>
        <v>34613.3333333333</v>
      </c>
      <c r="P25" s="14" t="str">
        <f aca="false">IF(L25="","",L25*95/F25)</f>
        <v/>
      </c>
      <c r="Q25" s="15" t="n">
        <f aca="false">IF(OR(N25="",O25=""),"",(IF(AND(N25&gt;7500,O25&gt;7500),O25/(1+IF(O25&lt;=1000,0,IF(O25&lt;=7500,0.05,0.18)))-IF(AND(N25&gt;7500,O25&gt;7500),N25/1.18,N25),(O25-IF(AND(N25&gt;7500,O25&gt;7500),N25/1.18,N25))/(1+IF(O25&lt;=1000,0,IF(O25&lt;=7500,0.05,0.18)))))/(IF(AND(N25&gt;7500,O25&gt;7500),N25/1.18,N25)))</f>
        <v>0.0526315789473685</v>
      </c>
      <c r="R25" s="15" t="n">
        <f aca="false">IF(OR(N25="",O25=""),"",((O25-N25)/1.18)/N25)</f>
        <v>0.0446030330062446</v>
      </c>
      <c r="S25" s="15" t="str">
        <f aca="false">IF(OR(P25="",O25=""),"",(P25-O25)/O25)</f>
        <v/>
      </c>
      <c r="T25" s="9" t="str">
        <f aca="false">IF(AND(D25="",G25&lt;&gt;""),"no dates - assumed 1 night",IF(Q25="","",IF(Q25&gt;1.5,"check: markup &gt;150%",IF(Q25&lt;0,"below cost",""))))</f>
        <v/>
      </c>
    </row>
    <row r="26" customFormat="false" ht="15" hidden="false" customHeight="false" outlineLevel="0" collapsed="false">
      <c r="A26" s="9" t="s">
        <v>9</v>
      </c>
      <c r="B26" s="9" t="s">
        <v>60</v>
      </c>
      <c r="C26" s="9" t="s">
        <v>41</v>
      </c>
      <c r="D26" s="10" t="s">
        <v>42</v>
      </c>
      <c r="E26" s="10" t="s">
        <v>43</v>
      </c>
      <c r="F26" s="9" t="n">
        <f aca="false">IF(OR(D26="",E26=""),1,MAX(1,DATEVALUE(E26)-DATEVALUE(D26)))</f>
        <v>3</v>
      </c>
      <c r="G26" s="11" t="n">
        <v>28403</v>
      </c>
      <c r="H26" s="11" t="n">
        <v>34863</v>
      </c>
      <c r="I26" s="11"/>
      <c r="J26" s="11"/>
      <c r="K26" s="11"/>
      <c r="L26" s="12"/>
      <c r="M26" s="13"/>
      <c r="N26" s="14" t="n">
        <f aca="false">IF(G26="","",G26/F26)</f>
        <v>9467.66666666667</v>
      </c>
      <c r="O26" s="14" t="n">
        <f aca="false">IF(COUNT(H26:K26)=0,"",MIN(H26:K26)/F26)</f>
        <v>11621</v>
      </c>
      <c r="P26" s="14" t="str">
        <f aca="false">IF(L26="","",L26*95/F26)</f>
        <v/>
      </c>
      <c r="Q26" s="15" t="n">
        <f aca="false">IF(OR(N26="",O26=""),"",(IF(AND(N26&gt;7500,O26&gt;7500),O26/(1+IF(O26&lt;=1000,0,IF(O26&lt;=7500,0.05,0.18)))-IF(AND(N26&gt;7500,O26&gt;7500),N26/1.18,N26),(O26-IF(AND(N26&gt;7500,O26&gt;7500),N26/1.18,N26))/(1+IF(O26&lt;=1000,0,IF(O26&lt;=7500,0.05,0.18)))))/(IF(AND(N26&gt;7500,O26&gt;7500),N26/1.18,N26)))</f>
        <v>0.227440763299652</v>
      </c>
      <c r="R26" s="15" t="n">
        <f aca="false">IF(OR(N26="",O26=""),"",((O26-N26)/1.18)/N26)</f>
        <v>0.192746409575976</v>
      </c>
      <c r="S26" s="15" t="str">
        <f aca="false">IF(OR(P26="",O26=""),"",(P26-O26)/O26)</f>
        <v/>
      </c>
      <c r="T26" s="9" t="str">
        <f aca="false">IF(AND(D26="",G26&lt;&gt;""),"no dates - assumed 1 night",IF(Q26="","",IF(Q26&gt;1.5,"check: markup &gt;150%",IF(Q26&lt;0,"below cost",""))))</f>
        <v/>
      </c>
    </row>
    <row r="27" customFormat="false" ht="15" hidden="false" customHeight="false" outlineLevel="0" collapsed="false">
      <c r="A27" s="9" t="s">
        <v>9</v>
      </c>
      <c r="B27" s="9" t="s">
        <v>60</v>
      </c>
      <c r="C27" s="9" t="s">
        <v>44</v>
      </c>
      <c r="D27" s="10" t="s">
        <v>45</v>
      </c>
      <c r="E27" s="10" t="s">
        <v>46</v>
      </c>
      <c r="F27" s="9" t="n">
        <f aca="false">IF(OR(D27="",E27=""),1,MAX(1,DATEVALUE(E27)-DATEVALUE(D27)))</f>
        <v>3</v>
      </c>
      <c r="G27" s="11" t="n">
        <v>29886</v>
      </c>
      <c r="H27" s="11" t="n">
        <v>36685</v>
      </c>
      <c r="I27" s="11"/>
      <c r="J27" s="11"/>
      <c r="K27" s="11"/>
      <c r="L27" s="12"/>
      <c r="M27" s="13"/>
      <c r="N27" s="14" t="n">
        <f aca="false">IF(G27="","",G27/F27)</f>
        <v>9962</v>
      </c>
      <c r="O27" s="14" t="n">
        <f aca="false">IF(COUNT(H27:K27)=0,"",MIN(H27:K27)/F27)</f>
        <v>12228.3333333333</v>
      </c>
      <c r="P27" s="14" t="str">
        <f aca="false">IF(L27="","",L27*95/F27)</f>
        <v/>
      </c>
      <c r="Q27" s="15" t="n">
        <f aca="false">IF(OR(N27="",O27=""),"",(IF(AND(N27&gt;7500,O27&gt;7500),O27/(1+IF(O27&lt;=1000,0,IF(O27&lt;=7500,0.05,0.18)))-IF(AND(N27&gt;7500,O27&gt;7500),N27/1.18,N27),(O27-IF(AND(N27&gt;7500,O27&gt;7500),N27/1.18,N27))/(1+IF(O27&lt;=1000,0,IF(O27&lt;=7500,0.05,0.18)))))/(IF(AND(N27&gt;7500,O27&gt;7500),N27/1.18,N27)))</f>
        <v>0.227497825068594</v>
      </c>
      <c r="R27" s="15" t="n">
        <f aca="false">IF(OR(N27="",O27=""),"",((O27-N27)/1.18)/N27)</f>
        <v>0.192794767007283</v>
      </c>
      <c r="S27" s="15" t="str">
        <f aca="false">IF(OR(P27="",O27=""),"",(P27-O27)/O27)</f>
        <v/>
      </c>
      <c r="T27" s="9" t="str">
        <f aca="false">IF(AND(D27="",G27&lt;&gt;""),"no dates - assumed 1 night",IF(Q27="","",IF(Q27&gt;1.5,"check: markup &gt;150%",IF(Q27&lt;0,"below cost",""))))</f>
        <v/>
      </c>
    </row>
    <row r="28" customFormat="false" ht="15" hidden="false" customHeight="false" outlineLevel="0" collapsed="false">
      <c r="A28" s="9" t="s">
        <v>9</v>
      </c>
      <c r="B28" s="9" t="s">
        <v>60</v>
      </c>
      <c r="C28" s="9" t="s">
        <v>47</v>
      </c>
      <c r="D28" s="10" t="s">
        <v>48</v>
      </c>
      <c r="E28" s="10" t="s">
        <v>49</v>
      </c>
      <c r="F28" s="9" t="n">
        <f aca="false">IF(OR(D28="",E28=""),1,MAX(1,DATEVALUE(E28)-DATEVALUE(D28)))</f>
        <v>3</v>
      </c>
      <c r="G28" s="11" t="n">
        <v>38267</v>
      </c>
      <c r="H28" s="11" t="n">
        <v>47896</v>
      </c>
      <c r="I28" s="11"/>
      <c r="J28" s="11"/>
      <c r="K28" s="11"/>
      <c r="L28" s="12"/>
      <c r="M28" s="13"/>
      <c r="N28" s="14" t="n">
        <f aca="false">IF(G28="","",G28/F28)</f>
        <v>12755.6666666667</v>
      </c>
      <c r="O28" s="14" t="n">
        <f aca="false">IF(COUNT(H28:K28)=0,"",MIN(H28:K28)/F28)</f>
        <v>15965.3333333333</v>
      </c>
      <c r="P28" s="14" t="str">
        <f aca="false">IF(L28="","",L28*95/F28)</f>
        <v/>
      </c>
      <c r="Q28" s="15" t="n">
        <f aca="false">IF(OR(N28="",O28=""),"",(IF(AND(N28&gt;7500,O28&gt;7500),O28/(1+IF(O28&lt;=1000,0,IF(O28&lt;=7500,0.05,0.18)))-IF(AND(N28&gt;7500,O28&gt;7500),N28/1.18,N28),(O28-IF(AND(N28&gt;7500,O28&gt;7500),N28/1.18,N28))/(1+IF(O28&lt;=1000,0,IF(O28&lt;=7500,0.05,0.18)))))/(IF(AND(N28&gt;7500,O28&gt;7500),N28/1.18,N28)))</f>
        <v>0.251626727990174</v>
      </c>
      <c r="R28" s="15" t="n">
        <f aca="false">IF(OR(N28="",O28=""),"",((O28-N28)/1.18)/N28)</f>
        <v>0.213242989822182</v>
      </c>
      <c r="S28" s="15" t="str">
        <f aca="false">IF(OR(P28="",O28=""),"",(P28-O28)/O28)</f>
        <v/>
      </c>
      <c r="T28" s="9" t="str">
        <f aca="false">IF(AND(D28="",G28&lt;&gt;""),"no dates - assumed 1 night",IF(Q28="","",IF(Q28&gt;1.5,"check: markup &gt;150%",IF(Q28&lt;0,"below cost",""))))</f>
        <v/>
      </c>
    </row>
    <row r="29" customFormat="false" ht="15" hidden="false" customHeight="false" outlineLevel="0" collapsed="false">
      <c r="A29" s="9" t="s">
        <v>9</v>
      </c>
      <c r="B29" s="9" t="s">
        <v>60</v>
      </c>
      <c r="C29" s="9" t="s">
        <v>54</v>
      </c>
      <c r="D29" s="10" t="s">
        <v>55</v>
      </c>
      <c r="E29" s="10" t="s">
        <v>56</v>
      </c>
      <c r="F29" s="9" t="n">
        <f aca="false">IF(OR(D29="",E29=""),1,MAX(1,DATEVALUE(E29)-DATEVALUE(D29)))</f>
        <v>3</v>
      </c>
      <c r="G29" s="11" t="n">
        <v>99895</v>
      </c>
      <c r="H29" s="11" t="n">
        <v>125009</v>
      </c>
      <c r="I29" s="11"/>
      <c r="J29" s="11"/>
      <c r="K29" s="11"/>
      <c r="L29" s="12"/>
      <c r="M29" s="13"/>
      <c r="N29" s="14" t="n">
        <f aca="false">IF(G29="","",G29/F29)</f>
        <v>33298.3333333333</v>
      </c>
      <c r="O29" s="14" t="n">
        <f aca="false">IF(COUNT(H29:K29)=0,"",MIN(H29:K29)/F29)</f>
        <v>41669.6666666667</v>
      </c>
      <c r="P29" s="14" t="str">
        <f aca="false">IF(L29="","",L29*95/F29)</f>
        <v/>
      </c>
      <c r="Q29" s="15" t="n">
        <f aca="false">IF(OR(N29="",O29=""),"",(IF(AND(N29&gt;7500,O29&gt;7500),O29/(1+IF(O29&lt;=1000,0,IF(O29&lt;=7500,0.05,0.18)))-IF(AND(N29&gt;7500,O29&gt;7500),N29/1.18,N29),(O29-IF(AND(N29&gt;7500,O29&gt;7500),N29/1.18,N29))/(1+IF(O29&lt;=1000,0,IF(O29&lt;=7500,0.05,0.18)))))/(IF(AND(N29&gt;7500,O29&gt;7500),N29/1.18,N29)))</f>
        <v>0.251403974172881</v>
      </c>
      <c r="R29" s="15" t="n">
        <f aca="false">IF(OR(N29="",O29=""),"",((O29-N29)/1.18)/N29)</f>
        <v>0.213054215400747</v>
      </c>
      <c r="S29" s="15" t="str">
        <f aca="false">IF(OR(P29="",O29=""),"",(P29-O29)/O29)</f>
        <v/>
      </c>
      <c r="T29" s="9" t="str">
        <f aca="false">IF(AND(D29="",G29&lt;&gt;""),"no dates - assumed 1 night",IF(Q29="","",IF(Q29&gt;1.5,"check: markup &gt;150%",IF(Q29&lt;0,"below cost",""))))</f>
        <v/>
      </c>
    </row>
    <row r="30" customFormat="false" ht="15" hidden="false" customHeight="false" outlineLevel="0" collapsed="false">
      <c r="A30" s="9" t="s">
        <v>9</v>
      </c>
      <c r="B30" s="9" t="s">
        <v>61</v>
      </c>
      <c r="C30" s="9" t="s">
        <v>41</v>
      </c>
      <c r="D30" s="10" t="s">
        <v>42</v>
      </c>
      <c r="E30" s="10" t="s">
        <v>43</v>
      </c>
      <c r="F30" s="9" t="n">
        <f aca="false">IF(OR(D30="",E30=""),1,MAX(1,DATEVALUE(E30)-DATEVALUE(D30)))</f>
        <v>3</v>
      </c>
      <c r="G30" s="11" t="n">
        <v>32860</v>
      </c>
      <c r="H30" s="11" t="n">
        <v>34011</v>
      </c>
      <c r="I30" s="11"/>
      <c r="J30" s="11"/>
      <c r="K30" s="11"/>
      <c r="L30" s="12" t="n">
        <v>336.99</v>
      </c>
      <c r="M30" s="13" t="n">
        <v>0.12</v>
      </c>
      <c r="N30" s="14" t="n">
        <f aca="false">IF(G30="","",G30/F30)</f>
        <v>10953.3333333333</v>
      </c>
      <c r="O30" s="14" t="n">
        <f aca="false">IF(COUNT(H30:K30)=0,"",MIN(H30:K30)/F30)</f>
        <v>11337</v>
      </c>
      <c r="P30" s="14" t="n">
        <f aca="false">IF(L30="","",L30*95/F30)</f>
        <v>10671.35</v>
      </c>
      <c r="Q30" s="15" t="n">
        <f aca="false">IF(OR(N30="",O30=""),"",(IF(AND(N30&gt;7500,O30&gt;7500),O30/(1+IF(O30&lt;=1000,0,IF(O30&lt;=7500,0.05,0.18)))-IF(AND(N30&gt;7500,O30&gt;7500),N30/1.18,N30),(O30-IF(AND(N30&gt;7500,O30&gt;7500),N30/1.18,N30))/(1+IF(O30&lt;=1000,0,IF(O30&lt;=7500,0.05,0.18)))))/(IF(AND(N30&gt;7500,O30&gt;7500),N30/1.18,N30)))</f>
        <v>0.0350273889227023</v>
      </c>
      <c r="R30" s="15" t="n">
        <f aca="false">IF(OR(N30="",O30=""),"",((O30-N30)/1.18)/N30)</f>
        <v>0.0296842279005952</v>
      </c>
      <c r="S30" s="15" t="n">
        <f aca="false">IF(OR(P30="",O30=""),"",(P30-O30)/O30)</f>
        <v>-0.0587148275557907</v>
      </c>
      <c r="T30" s="9" t="str">
        <f aca="false">IF(AND(D30="",G30&lt;&gt;""),"no dates - assumed 1 night",IF(Q30="","",IF(Q30&gt;1.5,"check: markup &gt;150%",IF(Q30&lt;0,"below cost",""))))</f>
        <v/>
      </c>
    </row>
    <row r="31" customFormat="false" ht="15" hidden="false" customHeight="false" outlineLevel="0" collapsed="false">
      <c r="A31" s="9" t="s">
        <v>9</v>
      </c>
      <c r="B31" s="9" t="s">
        <v>61</v>
      </c>
      <c r="C31" s="9" t="s">
        <v>44</v>
      </c>
      <c r="D31" s="10" t="s">
        <v>45</v>
      </c>
      <c r="E31" s="10" t="s">
        <v>46</v>
      </c>
      <c r="F31" s="9" t="n">
        <f aca="false">IF(OR(D31="",E31=""),1,MAX(1,DATEVALUE(E31)-DATEVALUE(D31)))</f>
        <v>3</v>
      </c>
      <c r="G31" s="11" t="n">
        <v>23153</v>
      </c>
      <c r="H31" s="11" t="n">
        <v>27320</v>
      </c>
      <c r="I31" s="11"/>
      <c r="J31" s="11"/>
      <c r="K31" s="11"/>
      <c r="L31" s="12" t="n">
        <v>238.08</v>
      </c>
      <c r="M31" s="13" t="n">
        <v>0.12</v>
      </c>
      <c r="N31" s="14" t="n">
        <f aca="false">IF(G31="","",G31/F31)</f>
        <v>7717.66666666667</v>
      </c>
      <c r="O31" s="14" t="n">
        <f aca="false">IF(COUNT(H31:K31)=0,"",MIN(H31:K31)/F31)</f>
        <v>9106.66666666667</v>
      </c>
      <c r="P31" s="14" t="n">
        <f aca="false">IF(L31="","",L31*95/F31)</f>
        <v>7539.2</v>
      </c>
      <c r="Q31" s="15" t="n">
        <f aca="false">IF(OR(N31="",O31=""),"",(IF(AND(N31&gt;7500,O31&gt;7500),O31/(1+IF(O31&lt;=1000,0,IF(O31&lt;=7500,0.05,0.18)))-IF(AND(N31&gt;7500,O31&gt;7500),N31/1.18,N31),(O31-IF(AND(N31&gt;7500,O31&gt;7500),N31/1.18,N31))/(1+IF(O31&lt;=1000,0,IF(O31&lt;=7500,0.05,0.18)))))/(IF(AND(N31&gt;7500,O31&gt;7500),N31/1.18,N31)))</f>
        <v>0.179976676888524</v>
      </c>
      <c r="R31" s="15" t="n">
        <f aca="false">IF(OR(N31="",O31=""),"",((O31-N31)/1.18)/N31)</f>
        <v>0.152522607532648</v>
      </c>
      <c r="S31" s="15" t="n">
        <f aca="false">IF(OR(P31="",O31=""),"",(P31-O31)/O31)</f>
        <v>-0.17212298682284</v>
      </c>
      <c r="T31" s="9" t="str">
        <f aca="false">IF(AND(D31="",G31&lt;&gt;""),"no dates - assumed 1 night",IF(Q31="","",IF(Q31&gt;1.5,"check: markup &gt;150%",IF(Q31&lt;0,"below cost",""))))</f>
        <v/>
      </c>
    </row>
    <row r="32" customFormat="false" ht="15" hidden="false" customHeight="false" outlineLevel="0" collapsed="false">
      <c r="A32" s="9" t="s">
        <v>9</v>
      </c>
      <c r="B32" s="9" t="s">
        <v>61</v>
      </c>
      <c r="C32" s="9" t="s">
        <v>47</v>
      </c>
      <c r="D32" s="10" t="s">
        <v>48</v>
      </c>
      <c r="E32" s="10" t="s">
        <v>49</v>
      </c>
      <c r="F32" s="9" t="n">
        <f aca="false">IF(OR(D32="",E32=""),1,MAX(1,DATEVALUE(E32)-DATEVALUE(D32)))</f>
        <v>3</v>
      </c>
      <c r="G32" s="11" t="n">
        <v>36313</v>
      </c>
      <c r="H32" s="11" t="n">
        <v>41259</v>
      </c>
      <c r="I32" s="11"/>
      <c r="J32" s="11"/>
      <c r="K32" s="11"/>
      <c r="L32" s="12" t="n">
        <v>408.78</v>
      </c>
      <c r="M32" s="13" t="n">
        <v>0.12</v>
      </c>
      <c r="N32" s="14" t="n">
        <f aca="false">IF(G32="","",G32/F32)</f>
        <v>12104.3333333333</v>
      </c>
      <c r="O32" s="14" t="n">
        <f aca="false">IF(COUNT(H32:K32)=0,"",MIN(H32:K32)/F32)</f>
        <v>13753</v>
      </c>
      <c r="P32" s="14" t="n">
        <f aca="false">IF(L32="","",L32*95/F32)</f>
        <v>12944.7</v>
      </c>
      <c r="Q32" s="15" t="n">
        <f aca="false">IF(OR(N32="",O32=""),"",(IF(AND(N32&gt;7500,O32&gt;7500),O32/(1+IF(O32&lt;=1000,0,IF(O32&lt;=7500,0.05,0.18)))-IF(AND(N32&gt;7500,O32&gt;7500),N32/1.18,N32),(O32-IF(AND(N32&gt;7500,O32&gt;7500),N32/1.18,N32))/(1+IF(O32&lt;=1000,0,IF(O32&lt;=7500,0.05,0.18)))))/(IF(AND(N32&gt;7500,O32&gt;7500),N32/1.18,N32)))</f>
        <v>0.136204664996007</v>
      </c>
      <c r="R32" s="15" t="n">
        <f aca="false">IF(OR(N32="",O32=""),"",((O32-N32)/1.18)/N32)</f>
        <v>0.115427682200006</v>
      </c>
      <c r="S32" s="15" t="n">
        <f aca="false">IF(OR(P32="",O32=""),"",(P32-O32)/O32)</f>
        <v>-0.0587726314258708</v>
      </c>
      <c r="T32" s="9" t="str">
        <f aca="false">IF(AND(D32="",G32&lt;&gt;""),"no dates - assumed 1 night",IF(Q32="","",IF(Q32&gt;1.5,"check: markup &gt;150%",IF(Q32&lt;0,"below cost",""))))</f>
        <v/>
      </c>
    </row>
    <row r="33" customFormat="false" ht="15" hidden="false" customHeight="false" outlineLevel="0" collapsed="false">
      <c r="A33" s="9" t="s">
        <v>9</v>
      </c>
      <c r="B33" s="9" t="s">
        <v>61</v>
      </c>
      <c r="C33" s="9" t="s">
        <v>50</v>
      </c>
      <c r="D33" s="10" t="s">
        <v>51</v>
      </c>
      <c r="E33" s="10" t="s">
        <v>52</v>
      </c>
      <c r="F33" s="9" t="n">
        <f aca="false">IF(OR(D33="",E33=""),1,MAX(1,DATEVALUE(E33)-DATEVALUE(D33)))</f>
        <v>3</v>
      </c>
      <c r="G33" s="11" t="n">
        <v>82183</v>
      </c>
      <c r="H33" s="11" t="n">
        <v>83633</v>
      </c>
      <c r="I33" s="11"/>
      <c r="J33" s="11"/>
      <c r="K33" s="11"/>
      <c r="L33" s="12" t="n">
        <v>828.63</v>
      </c>
      <c r="M33" s="13" t="n">
        <v>0.12</v>
      </c>
      <c r="N33" s="14" t="n">
        <f aca="false">IF(G33="","",G33/F33)</f>
        <v>27394.3333333333</v>
      </c>
      <c r="O33" s="14" t="n">
        <f aca="false">IF(COUNT(H33:K33)=0,"",MIN(H33:K33)/F33)</f>
        <v>27877.6666666667</v>
      </c>
      <c r="P33" s="14" t="n">
        <f aca="false">IF(L33="","",L33*95/F33)</f>
        <v>26239.95</v>
      </c>
      <c r="Q33" s="15" t="n">
        <f aca="false">IF(OR(N33="",O33=""),"",(IF(AND(N33&gt;7500,O33&gt;7500),O33/(1+IF(O33&lt;=1000,0,IF(O33&lt;=7500,0.05,0.18)))-IF(AND(N33&gt;7500,O33&gt;7500),N33/1.18,N33),(O33-IF(AND(N33&gt;7500,O33&gt;7500),N33/1.18,N33))/(1+IF(O33&lt;=1000,0,IF(O33&lt;=7500,0.05,0.18)))))/(IF(AND(N33&gt;7500,O33&gt;7500),N33/1.18,N33)))</f>
        <v>0.0176435515860945</v>
      </c>
      <c r="R33" s="15" t="n">
        <f aca="false">IF(OR(N33="",O33=""),"",((O33-N33)/1.18)/N33)</f>
        <v>0.0149521623610971</v>
      </c>
      <c r="S33" s="15" t="n">
        <f aca="false">IF(OR(P33="",O33=""),"",(P33-O33)/O33)</f>
        <v>-0.0587465474154939</v>
      </c>
      <c r="T33" s="9" t="str">
        <f aca="false">IF(AND(D33="",G33&lt;&gt;""),"no dates - assumed 1 night",IF(Q33="","",IF(Q33&gt;1.5,"check: markup &gt;150%",IF(Q33&lt;0,"below cost",""))))</f>
        <v/>
      </c>
    </row>
    <row r="34" customFormat="false" ht="15" hidden="false" customHeight="false" outlineLevel="0" collapsed="false">
      <c r="A34" s="9" t="s">
        <v>9</v>
      </c>
      <c r="B34" s="9" t="s">
        <v>61</v>
      </c>
      <c r="C34" s="9" t="s">
        <v>54</v>
      </c>
      <c r="D34" s="10" t="s">
        <v>55</v>
      </c>
      <c r="E34" s="10" t="s">
        <v>56</v>
      </c>
      <c r="F34" s="9" t="n">
        <f aca="false">IF(OR(D34="",E34=""),1,MAX(1,DATEVALUE(E34)-DATEVALUE(D34)))</f>
        <v>3</v>
      </c>
      <c r="G34" s="11" t="n">
        <v>26979</v>
      </c>
      <c r="H34" s="11" t="n">
        <v>30665</v>
      </c>
      <c r="I34" s="11"/>
      <c r="J34" s="11"/>
      <c r="K34" s="11"/>
      <c r="L34" s="12" t="n">
        <v>306.15</v>
      </c>
      <c r="M34" s="13" t="n">
        <v>0.12</v>
      </c>
      <c r="N34" s="14" t="n">
        <f aca="false">IF(G34="","",G34/F34)</f>
        <v>8993</v>
      </c>
      <c r="O34" s="14" t="n">
        <f aca="false">IF(COUNT(H34:K34)=0,"",MIN(H34:K34)/F34)</f>
        <v>10221.6666666667</v>
      </c>
      <c r="P34" s="14" t="n">
        <f aca="false">IF(L34="","",L34*95/F34)</f>
        <v>9694.75</v>
      </c>
      <c r="Q34" s="15" t="n">
        <f aca="false">IF(OR(N34="",O34=""),"",(IF(AND(N34&gt;7500,O34&gt;7500),O34/(1+IF(O34&lt;=1000,0,IF(O34&lt;=7500,0.05,0.18)))-IF(AND(N34&gt;7500,O34&gt;7500),N34/1.18,N34),(O34-IF(AND(N34&gt;7500,O34&gt;7500),N34/1.18,N34))/(1+IF(O34&lt;=1000,0,IF(O34&lt;=7500,0.05,0.18)))))/(IF(AND(N34&gt;7500,O34&gt;7500),N34/1.18,N34)))</f>
        <v>0.136624782238037</v>
      </c>
      <c r="R34" s="15" t="n">
        <f aca="false">IF(OR(N34="",O34=""),"",((O34-N34)/1.18)/N34)</f>
        <v>0.115783713761048</v>
      </c>
      <c r="S34" s="15" t="n">
        <f aca="false">IF(OR(P34="",O34=""),"",(P34-O34)/O34)</f>
        <v>-0.0515489972281103</v>
      </c>
      <c r="T34" s="9" t="str">
        <f aca="false">IF(AND(D34="",G34&lt;&gt;""),"no dates - assumed 1 night",IF(Q34="","",IF(Q34&gt;1.5,"check: markup &gt;150%",IF(Q34&lt;0,"below cost",""))))</f>
        <v/>
      </c>
    </row>
    <row r="35" customFormat="false" ht="15" hidden="false" customHeight="false" outlineLevel="0" collapsed="false">
      <c r="A35" s="9" t="s">
        <v>9</v>
      </c>
      <c r="B35" s="9" t="s">
        <v>62</v>
      </c>
      <c r="C35" s="9" t="s">
        <v>41</v>
      </c>
      <c r="D35" s="10" t="s">
        <v>42</v>
      </c>
      <c r="E35" s="10" t="s">
        <v>43</v>
      </c>
      <c r="F35" s="9" t="n">
        <f aca="false">IF(OR(D35="",E35=""),1,MAX(1,DATEVALUE(E35)-DATEVALUE(D35)))</f>
        <v>3</v>
      </c>
      <c r="G35" s="11" t="n">
        <v>68959</v>
      </c>
      <c r="H35" s="11" t="n">
        <v>83072</v>
      </c>
      <c r="I35" s="11"/>
      <c r="J35" s="11"/>
      <c r="K35" s="11"/>
      <c r="L35" s="12"/>
      <c r="M35" s="13"/>
      <c r="N35" s="14" t="n">
        <f aca="false">IF(G35="","",G35/F35)</f>
        <v>22986.3333333333</v>
      </c>
      <c r="O35" s="14" t="n">
        <f aca="false">IF(COUNT(H35:K35)=0,"",MIN(H35:K35)/F35)</f>
        <v>27690.6666666667</v>
      </c>
      <c r="P35" s="14" t="str">
        <f aca="false">IF(L35="","",L35*95/F35)</f>
        <v/>
      </c>
      <c r="Q35" s="15" t="n">
        <f aca="false">IF(OR(N35="",O35=""),"",(IF(AND(N35&gt;7500,O35&gt;7500),O35/(1+IF(O35&lt;=1000,0,IF(O35&lt;=7500,0.05,0.18)))-IF(AND(N35&gt;7500,O35&gt;7500),N35/1.18,N35),(O35-IF(AND(N35&gt;7500,O35&gt;7500),N35/1.18,N35))/(1+IF(O35&lt;=1000,0,IF(O35&lt;=7500,0.05,0.18)))))/(IF(AND(N35&gt;7500,O35&gt;7500),N35/1.18,N35)))</f>
        <v>0.204657840165896</v>
      </c>
      <c r="R35" s="15" t="n">
        <f aca="false">IF(OR(N35="",O35=""),"",((O35-N35)/1.18)/N35)</f>
        <v>0.173438847598217</v>
      </c>
      <c r="S35" s="15" t="str">
        <f aca="false">IF(OR(P35="",O35=""),"",(P35-O35)/O35)</f>
        <v/>
      </c>
      <c r="T35" s="9" t="str">
        <f aca="false">IF(AND(D35="",G35&lt;&gt;""),"no dates - assumed 1 night",IF(Q35="","",IF(Q35&gt;1.5,"check: markup &gt;150%",IF(Q35&lt;0,"below cost",""))))</f>
        <v/>
      </c>
    </row>
    <row r="36" customFormat="false" ht="15" hidden="false" customHeight="false" outlineLevel="0" collapsed="false">
      <c r="A36" s="9" t="s">
        <v>9</v>
      </c>
      <c r="B36" s="9" t="s">
        <v>62</v>
      </c>
      <c r="C36" s="9" t="s">
        <v>47</v>
      </c>
      <c r="D36" s="10" t="s">
        <v>48</v>
      </c>
      <c r="E36" s="10" t="s">
        <v>49</v>
      </c>
      <c r="F36" s="9" t="n">
        <f aca="false">IF(OR(D36="",E36=""),1,MAX(1,DATEVALUE(E36)-DATEVALUE(D36)))</f>
        <v>3</v>
      </c>
      <c r="G36" s="11" t="n">
        <v>80544</v>
      </c>
      <c r="H36" s="11" t="n">
        <v>100890</v>
      </c>
      <c r="I36" s="11"/>
      <c r="J36" s="11"/>
      <c r="K36" s="11"/>
      <c r="L36" s="12"/>
      <c r="M36" s="13"/>
      <c r="N36" s="14" t="n">
        <f aca="false">IF(G36="","",G36/F36)</f>
        <v>26848</v>
      </c>
      <c r="O36" s="14" t="n">
        <f aca="false">IF(COUNT(H36:K36)=0,"",MIN(H36:K36)/F36)</f>
        <v>33630</v>
      </c>
      <c r="P36" s="14" t="str">
        <f aca="false">IF(L36="","",L36*95/F36)</f>
        <v/>
      </c>
      <c r="Q36" s="15" t="n">
        <f aca="false">IF(OR(N36="",O36=""),"",(IF(AND(N36&gt;7500,O36&gt;7500),O36/(1+IF(O36&lt;=1000,0,IF(O36&lt;=7500,0.05,0.18)))-IF(AND(N36&gt;7500,O36&gt;7500),N36/1.18,N36),(O36-IF(AND(N36&gt;7500,O36&gt;7500),N36/1.18,N36))/(1+IF(O36&lt;=1000,0,IF(O36&lt;=7500,0.05,0.18)))))/(IF(AND(N36&gt;7500,O36&gt;7500),N36/1.18,N36)))</f>
        <v>0.252607270560191</v>
      </c>
      <c r="R36" s="15" t="n">
        <f aca="false">IF(OR(N36="",O36=""),"",((O36-N36)/1.18)/N36)</f>
        <v>0.214073958101857</v>
      </c>
      <c r="S36" s="15" t="str">
        <f aca="false">IF(OR(P36="",O36=""),"",(P36-O36)/O36)</f>
        <v/>
      </c>
      <c r="T36" s="9" t="str">
        <f aca="false">IF(AND(D36="",G36&lt;&gt;""),"no dates - assumed 1 night",IF(Q36="","",IF(Q36&gt;1.5,"check: markup &gt;150%",IF(Q36&lt;0,"below cost",""))))</f>
        <v/>
      </c>
    </row>
    <row r="37" customFormat="false" ht="15" hidden="false" customHeight="false" outlineLevel="0" collapsed="false">
      <c r="A37" s="9" t="s">
        <v>9</v>
      </c>
      <c r="B37" s="9" t="s">
        <v>62</v>
      </c>
      <c r="C37" s="9" t="s">
        <v>50</v>
      </c>
      <c r="D37" s="10" t="s">
        <v>51</v>
      </c>
      <c r="E37" s="10" t="s">
        <v>63</v>
      </c>
      <c r="F37" s="9" t="n">
        <f aca="false">IF(OR(D37="",E37=""),1,MAX(1,DATEVALUE(E37)-DATEVALUE(D37)))</f>
        <v>33</v>
      </c>
      <c r="G37" s="11" t="n">
        <v>184869</v>
      </c>
      <c r="H37" s="11" t="n">
        <v>170375</v>
      </c>
      <c r="I37" s="11"/>
      <c r="J37" s="11"/>
      <c r="K37" s="11"/>
      <c r="L37" s="12"/>
      <c r="M37" s="13"/>
      <c r="N37" s="14" t="n">
        <f aca="false">IF(G37="","",G37/F37)</f>
        <v>5602.09090909091</v>
      </c>
      <c r="O37" s="14" t="n">
        <f aca="false">IF(COUNT(H37:K37)=0,"",MIN(H37:K37)/F37)</f>
        <v>5162.87878787879</v>
      </c>
      <c r="P37" s="14" t="str">
        <f aca="false">IF(L37="","",L37*95/F37)</f>
        <v/>
      </c>
      <c r="Q37" s="15" t="n">
        <f aca="false">IF(OR(N37="",O37=""),"",(IF(AND(N37&gt;7500,O37&gt;7500),O37/(1+IF(O37&lt;=1000,0,IF(O37&lt;=7500,0.05,0.18)))-IF(AND(N37&gt;7500,O37&gt;7500),N37/1.18,N37),(O37-IF(AND(N37&gt;7500,O37&gt;7500),N37/1.18,N37))/(1+IF(O37&lt;=1000,0,IF(O37&lt;=7500,0.05,0.18)))))/(IF(AND(N37&gt;7500,O37&gt;7500),N37/1.18,N37)))</f>
        <v>-0.0746680596736582</v>
      </c>
      <c r="R37" s="15" t="n">
        <f aca="false">IF(OR(N37="",O37=""),"",((O37-N37)/1.18)/N37)</f>
        <v>-0.0664419175062213</v>
      </c>
      <c r="S37" s="15" t="str">
        <f aca="false">IF(OR(P37="",O37=""),"",(P37-O37)/O37)</f>
        <v/>
      </c>
      <c r="T37" s="9" t="str">
        <f aca="false">IF(AND(D37="",G37&lt;&gt;""),"no dates - assumed 1 night",IF(Q37="","",IF(Q37&gt;1.5,"check: markup &gt;150%",IF(Q37&lt;0,"below cost",""))))</f>
        <v>below cost</v>
      </c>
    </row>
    <row r="38" customFormat="false" ht="15" hidden="false" customHeight="false" outlineLevel="0" collapsed="false">
      <c r="A38" s="9" t="s">
        <v>9</v>
      </c>
      <c r="B38" s="9" t="s">
        <v>62</v>
      </c>
      <c r="C38" s="9" t="s">
        <v>54</v>
      </c>
      <c r="D38" s="10" t="s">
        <v>55</v>
      </c>
      <c r="E38" s="10" t="s">
        <v>56</v>
      </c>
      <c r="F38" s="9" t="n">
        <f aca="false">IF(OR(D38="",E38=""),1,MAX(1,DATEVALUE(E38)-DATEVALUE(D38)))</f>
        <v>3</v>
      </c>
      <c r="G38" s="11" t="n">
        <v>123499</v>
      </c>
      <c r="H38" s="11" t="n">
        <v>154698</v>
      </c>
      <c r="I38" s="11"/>
      <c r="J38" s="11"/>
      <c r="K38" s="11"/>
      <c r="L38" s="12"/>
      <c r="M38" s="13"/>
      <c r="N38" s="14" t="n">
        <f aca="false">IF(G38="","",G38/F38)</f>
        <v>41166.3333333333</v>
      </c>
      <c r="O38" s="14" t="n">
        <f aca="false">IF(COUNT(H38:K38)=0,"",MIN(H38:K38)/F38)</f>
        <v>51566</v>
      </c>
      <c r="P38" s="14" t="str">
        <f aca="false">IF(L38="","",L38*95/F38)</f>
        <v/>
      </c>
      <c r="Q38" s="15" t="n">
        <f aca="false">IF(OR(N38="",O38=""),"",(IF(AND(N38&gt;7500,O38&gt;7500),O38/(1+IF(O38&lt;=1000,0,IF(O38&lt;=7500,0.05,0.18)))-IF(AND(N38&gt;7500,O38&gt;7500),N38/1.18,N38),(O38-IF(AND(N38&gt;7500,O38&gt;7500),N38/1.18,N38))/(1+IF(O38&lt;=1000,0,IF(O38&lt;=7500,0.05,0.18)))))/(IF(AND(N38&gt;7500,O38&gt;7500),N38/1.18,N38)))</f>
        <v>0.252625527332205</v>
      </c>
      <c r="R38" s="15" t="n">
        <f aca="false">IF(OR(N38="",O38=""),"",((O38-N38)/1.18)/N38)</f>
        <v>0.214089429942547</v>
      </c>
      <c r="S38" s="15" t="str">
        <f aca="false">IF(OR(P38="",O38=""),"",(P38-O38)/O38)</f>
        <v/>
      </c>
      <c r="T38" s="9" t="str">
        <f aca="false">IF(AND(D38="",G38&lt;&gt;""),"no dates - assumed 1 night",IF(Q38="","",IF(Q38&gt;1.5,"check: markup &gt;150%",IF(Q38&lt;0,"below cost",""))))</f>
        <v/>
      </c>
    </row>
    <row r="39" customFormat="false" ht="15" hidden="false" customHeight="false" outlineLevel="0" collapsed="false">
      <c r="A39" s="9" t="s">
        <v>9</v>
      </c>
      <c r="B39" s="9" t="s">
        <v>64</v>
      </c>
      <c r="C39" s="9" t="s">
        <v>41</v>
      </c>
      <c r="D39" s="10" t="s">
        <v>42</v>
      </c>
      <c r="E39" s="10" t="s">
        <v>43</v>
      </c>
      <c r="F39" s="9" t="n">
        <f aca="false">IF(OR(D39="",E39=""),1,MAX(1,DATEVALUE(E39)-DATEVALUE(D39)))</f>
        <v>3</v>
      </c>
      <c r="G39" s="11" t="n">
        <v>34996</v>
      </c>
      <c r="H39" s="11" t="n">
        <v>37554</v>
      </c>
      <c r="I39" s="11"/>
      <c r="J39" s="11"/>
      <c r="K39" s="11"/>
      <c r="L39" s="12" t="n">
        <v>381.94</v>
      </c>
      <c r="M39" s="13" t="n">
        <v>0.12</v>
      </c>
      <c r="N39" s="14" t="n">
        <f aca="false">IF(G39="","",G39/F39)</f>
        <v>11665.3333333333</v>
      </c>
      <c r="O39" s="14" t="n">
        <f aca="false">IF(COUNT(H39:K39)=0,"",MIN(H39:K39)/F39)</f>
        <v>12518</v>
      </c>
      <c r="P39" s="14" t="n">
        <f aca="false">IF(L39="","",L39*95/F39)</f>
        <v>12094.7666666667</v>
      </c>
      <c r="Q39" s="15" t="n">
        <f aca="false">IF(OR(N39="",O39=""),"",(IF(AND(N39&gt;7500,O39&gt;7500),O39/(1+IF(O39&lt;=1000,0,IF(O39&lt;=7500,0.05,0.18)))-IF(AND(N39&gt;7500,O39&gt;7500),N39/1.18,N39),(O39-IF(AND(N39&gt;7500,O39&gt;7500),N39/1.18,N39))/(1+IF(O39&lt;=1000,0,IF(O39&lt;=7500,0.05,0.18)))))/(IF(AND(N39&gt;7500,O39&gt;7500),N39/1.18,N39)))</f>
        <v>0.0730940678934734</v>
      </c>
      <c r="R39" s="15" t="n">
        <f aca="false">IF(OR(N39="",O39=""),"",((O39-N39)/1.18)/N39)</f>
        <v>0.0619441253334521</v>
      </c>
      <c r="S39" s="15" t="n">
        <f aca="false">IF(OR(P39="",O39=""),"",(P39-O39)/O39)</f>
        <v>-0.0338099802950417</v>
      </c>
      <c r="T39" s="9" t="str">
        <f aca="false">IF(AND(D39="",G39&lt;&gt;""),"no dates - assumed 1 night",IF(Q39="","",IF(Q39&gt;1.5,"check: markup &gt;150%",IF(Q39&lt;0,"below cost",""))))</f>
        <v/>
      </c>
    </row>
    <row r="40" customFormat="false" ht="15" hidden="false" customHeight="false" outlineLevel="0" collapsed="false">
      <c r="A40" s="9" t="s">
        <v>9</v>
      </c>
      <c r="B40" s="9" t="s">
        <v>64</v>
      </c>
      <c r="C40" s="9" t="s">
        <v>44</v>
      </c>
      <c r="D40" s="10" t="s">
        <v>45</v>
      </c>
      <c r="E40" s="10" t="s">
        <v>46</v>
      </c>
      <c r="F40" s="9" t="n">
        <f aca="false">IF(OR(D40="",E40=""),1,MAX(1,DATEVALUE(E40)-DATEVALUE(D40)))</f>
        <v>3</v>
      </c>
      <c r="G40" s="11" t="n">
        <v>26170</v>
      </c>
      <c r="H40" s="11" t="n">
        <v>27659</v>
      </c>
      <c r="I40" s="11"/>
      <c r="J40" s="11"/>
      <c r="K40" s="11"/>
      <c r="L40" s="12" t="n">
        <v>289.94</v>
      </c>
      <c r="M40" s="13" t="n">
        <v>0.12</v>
      </c>
      <c r="N40" s="14" t="n">
        <f aca="false">IF(G40="","",G40/F40)</f>
        <v>8723.33333333333</v>
      </c>
      <c r="O40" s="14" t="n">
        <f aca="false">IF(COUNT(H40:K40)=0,"",MIN(H40:K40)/F40)</f>
        <v>9219.66666666667</v>
      </c>
      <c r="P40" s="14" t="n">
        <f aca="false">IF(L40="","",L40*95/F40)</f>
        <v>9181.43333333333</v>
      </c>
      <c r="Q40" s="15" t="n">
        <f aca="false">IF(OR(N40="",O40=""),"",(IF(AND(N40&gt;7500,O40&gt;7500),O40/(1+IF(O40&lt;=1000,0,IF(O40&lt;=7500,0.05,0.18)))-IF(AND(N40&gt;7500,O40&gt;7500),N40/1.18,N40),(O40-IF(AND(N40&gt;7500,O40&gt;7500),N40/1.18,N40))/(1+IF(O40&lt;=1000,0,IF(O40&lt;=7500,0.05,0.18)))))/(IF(AND(N40&gt;7500,O40&gt;7500),N40/1.18,N40)))</f>
        <v>0.056897210546427</v>
      </c>
      <c r="R40" s="15" t="n">
        <f aca="false">IF(OR(N40="",O40=""),"",((O40-N40)/1.18)/N40)</f>
        <v>0.048217975039345</v>
      </c>
      <c r="S40" s="15" t="n">
        <f aca="false">IF(OR(P40="",O40=""),"",(P40-O40)/O40)</f>
        <v>-0.00414693228243974</v>
      </c>
      <c r="T40" s="9" t="str">
        <f aca="false">IF(AND(D40="",G40&lt;&gt;""),"no dates - assumed 1 night",IF(Q40="","",IF(Q40&gt;1.5,"check: markup &gt;150%",IF(Q40&lt;0,"below cost",""))))</f>
        <v/>
      </c>
    </row>
    <row r="41" customFormat="false" ht="15" hidden="false" customHeight="false" outlineLevel="0" collapsed="false">
      <c r="A41" s="9" t="s">
        <v>9</v>
      </c>
      <c r="B41" s="9" t="s">
        <v>64</v>
      </c>
      <c r="C41" s="9" t="s">
        <v>47</v>
      </c>
      <c r="D41" s="10" t="s">
        <v>48</v>
      </c>
      <c r="E41" s="10" t="s">
        <v>49</v>
      </c>
      <c r="F41" s="9" t="n">
        <f aca="false">IF(OR(D41="",E41=""),1,MAX(1,DATEVALUE(E41)-DATEVALUE(D41)))</f>
        <v>3</v>
      </c>
      <c r="G41" s="11" t="n">
        <v>44473</v>
      </c>
      <c r="H41" s="11" t="n">
        <v>46522</v>
      </c>
      <c r="I41" s="11"/>
      <c r="J41" s="11"/>
      <c r="K41" s="11"/>
      <c r="L41" s="12" t="n">
        <v>487.68</v>
      </c>
      <c r="M41" s="13" t="n">
        <v>0.12</v>
      </c>
      <c r="N41" s="14" t="n">
        <f aca="false">IF(G41="","",G41/F41)</f>
        <v>14824.3333333333</v>
      </c>
      <c r="O41" s="14" t="n">
        <f aca="false">IF(COUNT(H41:K41)=0,"",MIN(H41:K41)/F41)</f>
        <v>15507.3333333333</v>
      </c>
      <c r="P41" s="14" t="n">
        <f aca="false">IF(L41="","",L41*95/F41)</f>
        <v>15443.2</v>
      </c>
      <c r="Q41" s="15" t="n">
        <f aca="false">IF(OR(N41="",O41=""),"",(IF(AND(N41&gt;7500,O41&gt;7500),O41/(1+IF(O41&lt;=1000,0,IF(O41&lt;=7500,0.05,0.18)))-IF(AND(N41&gt;7500,O41&gt;7500),N41/1.18,N41),(O41-IF(AND(N41&gt;7500,O41&gt;7500),N41/1.18,N41))/(1+IF(O41&lt;=1000,0,IF(O41&lt;=7500,0.05,0.18)))))/(IF(AND(N41&gt;7500,O41&gt;7500),N41/1.18,N41)))</f>
        <v>0.0460728981629303</v>
      </c>
      <c r="R41" s="15" t="n">
        <f aca="false">IF(OR(N41="",O41=""),"",((O41-N41)/1.18)/N41)</f>
        <v>0.0390448289516359</v>
      </c>
      <c r="S41" s="15" t="n">
        <f aca="false">IF(OR(P41="",O41=""),"",(P41-O41)/O41)</f>
        <v>-0.00413567774386323</v>
      </c>
      <c r="T41" s="9" t="str">
        <f aca="false">IF(AND(D41="",G41&lt;&gt;""),"no dates - assumed 1 night",IF(Q41="","",IF(Q41&gt;1.5,"check: markup &gt;150%",IF(Q41&lt;0,"below cost",""))))</f>
        <v/>
      </c>
    </row>
    <row r="42" customFormat="false" ht="15" hidden="false" customHeight="false" outlineLevel="0" collapsed="false">
      <c r="A42" s="9" t="s">
        <v>9</v>
      </c>
      <c r="B42" s="9" t="s">
        <v>64</v>
      </c>
      <c r="C42" s="9" t="s">
        <v>50</v>
      </c>
      <c r="D42" s="10" t="s">
        <v>51</v>
      </c>
      <c r="E42" s="10" t="s">
        <v>52</v>
      </c>
      <c r="F42" s="9" t="n">
        <f aca="false">IF(OR(D42="",E42=""),1,MAX(1,DATEVALUE(E42)-DATEVALUE(D42)))</f>
        <v>3</v>
      </c>
      <c r="G42" s="11" t="n">
        <v>70721</v>
      </c>
      <c r="H42" s="11" t="n">
        <v>79650</v>
      </c>
      <c r="I42" s="11"/>
      <c r="J42" s="11"/>
      <c r="K42" s="11"/>
      <c r="L42" s="12" t="n">
        <v>834.97</v>
      </c>
      <c r="M42" s="13" t="n">
        <v>0.12</v>
      </c>
      <c r="N42" s="14" t="n">
        <f aca="false">IF(G42="","",G42/F42)</f>
        <v>23573.6666666667</v>
      </c>
      <c r="O42" s="14" t="n">
        <f aca="false">IF(COUNT(H42:K42)=0,"",MIN(H42:K42)/F42)</f>
        <v>26550</v>
      </c>
      <c r="P42" s="14" t="n">
        <f aca="false">IF(L42="","",L42*95/F42)</f>
        <v>26440.7166666667</v>
      </c>
      <c r="Q42" s="15" t="n">
        <f aca="false">IF(OR(N42="",O42=""),"",(IF(AND(N42&gt;7500,O42&gt;7500),O42/(1+IF(O42&lt;=1000,0,IF(O42&lt;=7500,0.05,0.18)))-IF(AND(N42&gt;7500,O42&gt;7500),N42/1.18,N42),(O42-IF(AND(N42&gt;7500,O42&gt;7500),N42/1.18,N42))/(1+IF(O42&lt;=1000,0,IF(O42&lt;=7500,0.05,0.18)))))/(IF(AND(N42&gt;7500,O42&gt;7500),N42/1.18,N42)))</f>
        <v>0.126256698858896</v>
      </c>
      <c r="R42" s="15" t="n">
        <f aca="false">IF(OR(N42="",O42=""),"",((O42-N42)/1.18)/N42)</f>
        <v>0.106997202422793</v>
      </c>
      <c r="S42" s="15" t="n">
        <f aca="false">IF(OR(P42="",O42=""),"",(P42-O42)/O42)</f>
        <v>-0.00411613308223462</v>
      </c>
      <c r="T42" s="9" t="str">
        <f aca="false">IF(AND(D42="",G42&lt;&gt;""),"no dates - assumed 1 night",IF(Q42="","",IF(Q42&gt;1.5,"check: markup &gt;150%",IF(Q42&lt;0,"below cost",""))))</f>
        <v/>
      </c>
    </row>
    <row r="43" customFormat="false" ht="15" hidden="false" customHeight="false" outlineLevel="0" collapsed="false">
      <c r="A43" s="9" t="s">
        <v>9</v>
      </c>
      <c r="B43" s="9" t="s">
        <v>64</v>
      </c>
      <c r="C43" s="9" t="s">
        <v>54</v>
      </c>
      <c r="D43" s="10" t="s">
        <v>55</v>
      </c>
      <c r="E43" s="10" t="s">
        <v>56</v>
      </c>
      <c r="F43" s="9" t="n">
        <f aca="false">IF(OR(D43="",E43=""),1,MAX(1,DATEVALUE(E43)-DATEVALUE(D43)))</f>
        <v>3</v>
      </c>
      <c r="G43" s="11" t="n">
        <v>30389</v>
      </c>
      <c r="H43" s="11" t="n">
        <v>34191</v>
      </c>
      <c r="I43" s="11"/>
      <c r="J43" s="11"/>
      <c r="K43" s="11"/>
      <c r="L43" s="12" t="n">
        <v>358.42</v>
      </c>
      <c r="M43" s="13" t="n">
        <v>0.12</v>
      </c>
      <c r="N43" s="14" t="n">
        <f aca="false">IF(G43="","",G43/F43)</f>
        <v>10129.6666666667</v>
      </c>
      <c r="O43" s="14" t="n">
        <f aca="false">IF(COUNT(H43:K43)=0,"",MIN(H43:K43)/F43)</f>
        <v>11397</v>
      </c>
      <c r="P43" s="14" t="n">
        <f aca="false">IF(L43="","",L43*95/F43)</f>
        <v>11349.9666666667</v>
      </c>
      <c r="Q43" s="15" t="n">
        <f aca="false">IF(OR(N43="",O43=""),"",(IF(AND(N43&gt;7500,O43&gt;7500),O43/(1+IF(O43&lt;=1000,0,IF(O43&lt;=7500,0.05,0.18)))-IF(AND(N43&gt;7500,O43&gt;7500),N43/1.18,N43),(O43-IF(AND(N43&gt;7500,O43&gt;7500),N43/1.18,N43))/(1+IF(O43&lt;=1000,0,IF(O43&lt;=7500,0.05,0.18)))))/(IF(AND(N43&gt;7500,O43&gt;7500),N43/1.18,N43)))</f>
        <v>0.125111059922998</v>
      </c>
      <c r="R43" s="15" t="n">
        <f aca="false">IF(OR(N43="",O43=""),"",((O43-N43)/1.18)/N43)</f>
        <v>0.106026321968643</v>
      </c>
      <c r="S43" s="15" t="n">
        <f aca="false">IF(OR(P43="",O43=""),"",(P43-O43)/O43)</f>
        <v>-0.00412681699862533</v>
      </c>
      <c r="T43" s="9" t="str">
        <f aca="false">IF(AND(D43="",G43&lt;&gt;""),"no dates - assumed 1 night",IF(Q43="","",IF(Q43&gt;1.5,"check: markup &gt;150%",IF(Q43&lt;0,"below cost",""))))</f>
        <v/>
      </c>
    </row>
    <row r="44" customFormat="false" ht="15" hidden="false" customHeight="false" outlineLevel="0" collapsed="false">
      <c r="A44" s="9" t="s">
        <v>9</v>
      </c>
      <c r="B44" s="9" t="s">
        <v>65</v>
      </c>
      <c r="C44" s="9" t="s">
        <v>41</v>
      </c>
      <c r="D44" s="10" t="s">
        <v>42</v>
      </c>
      <c r="E44" s="10" t="s">
        <v>43</v>
      </c>
      <c r="F44" s="9" t="n">
        <f aca="false">IF(OR(D44="",E44=""),1,MAX(1,DATEVALUE(E44)-DATEVALUE(D44)))</f>
        <v>3</v>
      </c>
      <c r="G44" s="11" t="n">
        <v>38539</v>
      </c>
      <c r="H44" s="11" t="n">
        <v>40590</v>
      </c>
      <c r="I44" s="11"/>
      <c r="J44" s="11"/>
      <c r="K44" s="11"/>
      <c r="L44" s="12"/>
      <c r="M44" s="13"/>
      <c r="N44" s="14" t="n">
        <f aca="false">IF(G44="","",G44/F44)</f>
        <v>12846.3333333333</v>
      </c>
      <c r="O44" s="14" t="n">
        <f aca="false">IF(COUNT(H44:K44)=0,"",MIN(H44:K44)/F44)</f>
        <v>13530</v>
      </c>
      <c r="P44" s="14" t="str">
        <f aca="false">IF(L44="","",L44*95/F44)</f>
        <v/>
      </c>
      <c r="Q44" s="15" t="n">
        <f aca="false">IF(OR(N44="",O44=""),"",(IF(AND(N44&gt;7500,O44&gt;7500),O44/(1+IF(O44&lt;=1000,0,IF(O44&lt;=7500,0.05,0.18)))-IF(AND(N44&gt;7500,O44&gt;7500),N44/1.18,N44),(O44-IF(AND(N44&gt;7500,O44&gt;7500),N44/1.18,N44))/(1+IF(O44&lt;=1000,0,IF(O44&lt;=7500,0.05,0.18)))))/(IF(AND(N44&gt;7500,O44&gt;7500),N44/1.18,N44)))</f>
        <v>0.0532188173019538</v>
      </c>
      <c r="R44" s="15" t="n">
        <f aca="false">IF(OR(N44="",O44=""),"",((O44-N44)/1.18)/N44)</f>
        <v>0.0451006926287744</v>
      </c>
      <c r="S44" s="15" t="str">
        <f aca="false">IF(OR(P44="",O44=""),"",(P44-O44)/O44)</f>
        <v/>
      </c>
      <c r="T44" s="9" t="str">
        <f aca="false">IF(AND(D44="",G44&lt;&gt;""),"no dates - assumed 1 night",IF(Q44="","",IF(Q44&gt;1.5,"check: markup &gt;150%",IF(Q44&lt;0,"below cost",""))))</f>
        <v/>
      </c>
    </row>
    <row r="45" customFormat="false" ht="15" hidden="false" customHeight="false" outlineLevel="0" collapsed="false">
      <c r="A45" s="9" t="s">
        <v>9</v>
      </c>
      <c r="B45" s="9" t="s">
        <v>65</v>
      </c>
      <c r="C45" s="9" t="s">
        <v>44</v>
      </c>
      <c r="D45" s="10" t="s">
        <v>45</v>
      </c>
      <c r="E45" s="10" t="s">
        <v>46</v>
      </c>
      <c r="F45" s="9" t="n">
        <f aca="false">IF(OR(D45="",E45=""),1,MAX(1,DATEVALUE(E45)-DATEVALUE(D45)))</f>
        <v>3</v>
      </c>
      <c r="G45" s="11" t="n">
        <v>31566</v>
      </c>
      <c r="H45" s="11" t="n">
        <v>33210</v>
      </c>
      <c r="I45" s="11"/>
      <c r="J45" s="11"/>
      <c r="K45" s="11"/>
      <c r="L45" s="12"/>
      <c r="M45" s="13"/>
      <c r="N45" s="14" t="n">
        <f aca="false">IF(G45="","",G45/F45)</f>
        <v>10522</v>
      </c>
      <c r="O45" s="14" t="n">
        <f aca="false">IF(COUNT(H45:K45)=0,"",MIN(H45:K45)/F45)</f>
        <v>11070</v>
      </c>
      <c r="P45" s="14" t="str">
        <f aca="false">IF(L45="","",L45*95/F45)</f>
        <v/>
      </c>
      <c r="Q45" s="15" t="n">
        <f aca="false">IF(OR(N45="",O45=""),"",(IF(AND(N45&gt;7500,O45&gt;7500),O45/(1+IF(O45&lt;=1000,0,IF(O45&lt;=7500,0.05,0.18)))-IF(AND(N45&gt;7500,O45&gt;7500),N45/1.18,N45),(O45-IF(AND(N45&gt;7500,O45&gt;7500),N45/1.18,N45))/(1+IF(O45&lt;=1000,0,IF(O45&lt;=7500,0.05,0.18)))))/(IF(AND(N45&gt;7500,O45&gt;7500),N45/1.18,N45)))</f>
        <v>0.0520813533548756</v>
      </c>
      <c r="R45" s="15" t="n">
        <f aca="false">IF(OR(N45="",O45=""),"",((O45-N45)/1.18)/N45)</f>
        <v>0.0441367401312504</v>
      </c>
      <c r="S45" s="15" t="str">
        <f aca="false">IF(OR(P45="",O45=""),"",(P45-O45)/O45)</f>
        <v/>
      </c>
      <c r="T45" s="9" t="str">
        <f aca="false">IF(AND(D45="",G45&lt;&gt;""),"no dates - assumed 1 night",IF(Q45="","",IF(Q45&gt;1.5,"check: markup &gt;150%",IF(Q45&lt;0,"below cost",""))))</f>
        <v/>
      </c>
    </row>
    <row r="46" customFormat="false" ht="15" hidden="false" customHeight="false" outlineLevel="0" collapsed="false">
      <c r="A46" s="9" t="s">
        <v>9</v>
      </c>
      <c r="B46" s="9" t="s">
        <v>65</v>
      </c>
      <c r="C46" s="9" t="s">
        <v>47</v>
      </c>
      <c r="D46" s="10" t="s">
        <v>48</v>
      </c>
      <c r="E46" s="10" t="s">
        <v>49</v>
      </c>
      <c r="F46" s="9" t="n">
        <f aca="false">IF(OR(D46="",E46=""),1,MAX(1,DATEVALUE(E46)-DATEVALUE(D46)))</f>
        <v>3</v>
      </c>
      <c r="G46" s="11" t="n">
        <v>31566</v>
      </c>
      <c r="H46" s="11" t="n">
        <v>33210</v>
      </c>
      <c r="I46" s="11"/>
      <c r="J46" s="11"/>
      <c r="K46" s="11"/>
      <c r="L46" s="12"/>
      <c r="M46" s="13"/>
      <c r="N46" s="14" t="n">
        <f aca="false">IF(G46="","",G46/F46)</f>
        <v>10522</v>
      </c>
      <c r="O46" s="14" t="n">
        <f aca="false">IF(COUNT(H46:K46)=0,"",MIN(H46:K46)/F46)</f>
        <v>11070</v>
      </c>
      <c r="P46" s="14" t="str">
        <f aca="false">IF(L46="","",L46*95/F46)</f>
        <v/>
      </c>
      <c r="Q46" s="15" t="n">
        <f aca="false">IF(OR(N46="",O46=""),"",(IF(AND(N46&gt;7500,O46&gt;7500),O46/(1+IF(O46&lt;=1000,0,IF(O46&lt;=7500,0.05,0.18)))-IF(AND(N46&gt;7500,O46&gt;7500),N46/1.18,N46),(O46-IF(AND(N46&gt;7500,O46&gt;7500),N46/1.18,N46))/(1+IF(O46&lt;=1000,0,IF(O46&lt;=7500,0.05,0.18)))))/(IF(AND(N46&gt;7500,O46&gt;7500),N46/1.18,N46)))</f>
        <v>0.0520813533548756</v>
      </c>
      <c r="R46" s="15" t="n">
        <f aca="false">IF(OR(N46="",O46=""),"",((O46-N46)/1.18)/N46)</f>
        <v>0.0441367401312504</v>
      </c>
      <c r="S46" s="15" t="str">
        <f aca="false">IF(OR(P46="",O46=""),"",(P46-O46)/O46)</f>
        <v/>
      </c>
      <c r="T46" s="9" t="str">
        <f aca="false">IF(AND(D46="",G46&lt;&gt;""),"no dates - assumed 1 night",IF(Q46="","",IF(Q46&gt;1.5,"check: markup &gt;150%",IF(Q46&lt;0,"below cost",""))))</f>
        <v/>
      </c>
    </row>
    <row r="47" customFormat="false" ht="15" hidden="false" customHeight="false" outlineLevel="0" collapsed="false">
      <c r="A47" s="9" t="s">
        <v>9</v>
      </c>
      <c r="B47" s="9" t="s">
        <v>65</v>
      </c>
      <c r="C47" s="9" t="s">
        <v>54</v>
      </c>
      <c r="D47" s="10" t="s">
        <v>55</v>
      </c>
      <c r="E47" s="10" t="s">
        <v>56</v>
      </c>
      <c r="F47" s="9" t="n">
        <f aca="false">IF(OR(D47="",E47=""),1,MAX(1,DATEVALUE(E47)-DATEVALUE(D47)))</f>
        <v>3</v>
      </c>
      <c r="G47" s="11" t="n">
        <v>31566</v>
      </c>
      <c r="H47" s="11" t="n">
        <v>33210</v>
      </c>
      <c r="I47" s="11"/>
      <c r="J47" s="11"/>
      <c r="K47" s="11"/>
      <c r="L47" s="12"/>
      <c r="M47" s="13"/>
      <c r="N47" s="14" t="n">
        <f aca="false">IF(G47="","",G47/F47)</f>
        <v>10522</v>
      </c>
      <c r="O47" s="14" t="n">
        <f aca="false">IF(COUNT(H47:K47)=0,"",MIN(H47:K47)/F47)</f>
        <v>11070</v>
      </c>
      <c r="P47" s="14" t="str">
        <f aca="false">IF(L47="","",L47*95/F47)</f>
        <v/>
      </c>
      <c r="Q47" s="15" t="n">
        <f aca="false">IF(OR(N47="",O47=""),"",(IF(AND(N47&gt;7500,O47&gt;7500),O47/(1+IF(O47&lt;=1000,0,IF(O47&lt;=7500,0.05,0.18)))-IF(AND(N47&gt;7500,O47&gt;7500),N47/1.18,N47),(O47-IF(AND(N47&gt;7500,O47&gt;7500),N47/1.18,N47))/(1+IF(O47&lt;=1000,0,IF(O47&lt;=7500,0.05,0.18)))))/(IF(AND(N47&gt;7500,O47&gt;7500),N47/1.18,N47)))</f>
        <v>0.0520813533548756</v>
      </c>
      <c r="R47" s="15" t="n">
        <f aca="false">IF(OR(N47="",O47=""),"",((O47-N47)/1.18)/N47)</f>
        <v>0.0441367401312504</v>
      </c>
      <c r="S47" s="15" t="str">
        <f aca="false">IF(OR(P47="",O47=""),"",(P47-O47)/O47)</f>
        <v/>
      </c>
      <c r="T47" s="9" t="str">
        <f aca="false">IF(AND(D47="",G47&lt;&gt;""),"no dates - assumed 1 night",IF(Q47="","",IF(Q47&gt;1.5,"check: markup &gt;150%",IF(Q47&lt;0,"below cost",""))))</f>
        <v/>
      </c>
    </row>
    <row r="48" customFormat="false" ht="15" hidden="false" customHeight="false" outlineLevel="0" collapsed="false">
      <c r="A48" s="9" t="s">
        <v>9</v>
      </c>
      <c r="B48" s="9" t="s">
        <v>66</v>
      </c>
      <c r="C48" s="9" t="s">
        <v>41</v>
      </c>
      <c r="D48" s="16"/>
      <c r="E48" s="16"/>
      <c r="F48" s="9" t="n">
        <f aca="false">IF(OR(D48="",E48=""),1,MAX(1,DATEVALUE(E48)-DATEVALUE(D48)))</f>
        <v>1</v>
      </c>
      <c r="G48" s="11" t="n">
        <v>12929</v>
      </c>
      <c r="H48" s="11" t="n">
        <v>12315</v>
      </c>
      <c r="I48" s="11"/>
      <c r="J48" s="11"/>
      <c r="K48" s="11"/>
      <c r="L48" s="12" t="n">
        <v>159.77</v>
      </c>
      <c r="M48" s="13" t="n">
        <v>0.13</v>
      </c>
      <c r="N48" s="14" t="n">
        <f aca="false">IF(G48="","",G48/F48)</f>
        <v>12929</v>
      </c>
      <c r="O48" s="14" t="n">
        <f aca="false">IF(COUNT(H48:K48)=0,"",MIN(H48:K48)/F48)</f>
        <v>12315</v>
      </c>
      <c r="P48" s="14" t="n">
        <f aca="false">IF(L48="","",L48*95/F48)</f>
        <v>15178.15</v>
      </c>
      <c r="Q48" s="15" t="n">
        <f aca="false">IF(OR(N48="",O48=""),"",(IF(AND(N48&gt;7500,O48&gt;7500),O48/(1+IF(O48&lt;=1000,0,IF(O48&lt;=7500,0.05,0.18)))-IF(AND(N48&gt;7500,O48&gt;7500),N48/1.18,N48),(O48-IF(AND(N48&gt;7500,O48&gt;7500),N48/1.18,N48))/(1+IF(O48&lt;=1000,0,IF(O48&lt;=7500,0.05,0.18)))))/(IF(AND(N48&gt;7500,O48&gt;7500),N48/1.18,N48)))</f>
        <v>-0.0474901384484492</v>
      </c>
      <c r="R48" s="15" t="n">
        <f aca="false">IF(OR(N48="",O48=""),"",((O48-N48)/1.18)/N48)</f>
        <v>-0.0402458800410587</v>
      </c>
      <c r="S48" s="15" t="n">
        <f aca="false">IF(OR(P48="",O48=""),"",(P48-O48)/O48)</f>
        <v>0.232492894843687</v>
      </c>
      <c r="T48" s="9" t="str">
        <f aca="false">IF(AND(D48="",G48&lt;&gt;""),"no dates - assumed 1 night",IF(Q48="","",IF(Q48&gt;1.5,"check: markup &gt;150%",IF(Q48&lt;0,"below cost",""))))</f>
        <v>no dates - assumed 1 night</v>
      </c>
    </row>
    <row r="49" customFormat="false" ht="15" hidden="false" customHeight="false" outlineLevel="0" collapsed="false">
      <c r="A49" s="9" t="s">
        <v>9</v>
      </c>
      <c r="B49" s="9" t="s">
        <v>66</v>
      </c>
      <c r="C49" s="9" t="s">
        <v>44</v>
      </c>
      <c r="D49" s="16"/>
      <c r="E49" s="16"/>
      <c r="F49" s="9" t="n">
        <f aca="false">IF(OR(D49="",E49=""),1,MAX(1,DATEVALUE(E49)-DATEVALUE(D49)))</f>
        <v>1</v>
      </c>
      <c r="G49" s="11" t="n">
        <v>10152</v>
      </c>
      <c r="H49" s="11" t="n">
        <v>10152</v>
      </c>
      <c r="I49" s="11"/>
      <c r="J49" s="11"/>
      <c r="K49" s="11"/>
      <c r="L49" s="12" t="n">
        <v>154.22</v>
      </c>
      <c r="M49" s="13" t="n">
        <v>0.12</v>
      </c>
      <c r="N49" s="14" t="n">
        <f aca="false">IF(G49="","",G49/F49)</f>
        <v>10152</v>
      </c>
      <c r="O49" s="14" t="n">
        <f aca="false">IF(COUNT(H49:K49)=0,"",MIN(H49:K49)/F49)</f>
        <v>10152</v>
      </c>
      <c r="P49" s="14" t="n">
        <f aca="false">IF(L49="","",L49*95/F49)</f>
        <v>14650.9</v>
      </c>
      <c r="Q49" s="15" t="n">
        <f aca="false">IF(OR(N49="",O49=""),"",(IF(AND(N49&gt;7500,O49&gt;7500),O49/(1+IF(O49&lt;=1000,0,IF(O49&lt;=7500,0.05,0.18)))-IF(AND(N49&gt;7500,O49&gt;7500),N49/1.18,N49),(O49-IF(AND(N49&gt;7500,O49&gt;7500),N49/1.18,N49))/(1+IF(O49&lt;=1000,0,IF(O49&lt;=7500,0.05,0.18)))))/(IF(AND(N49&gt;7500,O49&gt;7500),N49/1.18,N49)))</f>
        <v>0</v>
      </c>
      <c r="R49" s="15" t="n">
        <f aca="false">IF(OR(N49="",O49=""),"",((O49-N49)/1.18)/N49)</f>
        <v>0</v>
      </c>
      <c r="S49" s="15" t="n">
        <f aca="false">IF(OR(P49="",O49=""),"",(P49-O49)/O49)</f>
        <v>0.443154058313633</v>
      </c>
      <c r="T49" s="9" t="str">
        <f aca="false">IF(AND(D49="",G49&lt;&gt;""),"no dates - assumed 1 night",IF(Q49="","",IF(Q49&gt;1.5,"check: markup &gt;150%",IF(Q49&lt;0,"below cost",""))))</f>
        <v>no dates - assumed 1 night</v>
      </c>
    </row>
    <row r="50" customFormat="false" ht="15" hidden="false" customHeight="false" outlineLevel="0" collapsed="false">
      <c r="A50" s="9" t="s">
        <v>9</v>
      </c>
      <c r="B50" s="9" t="s">
        <v>66</v>
      </c>
      <c r="C50" s="9" t="s">
        <v>47</v>
      </c>
      <c r="D50" s="16"/>
      <c r="E50" s="16"/>
      <c r="F50" s="9" t="n">
        <f aca="false">IF(OR(D50="",E50=""),1,MAX(1,DATEVALUE(E50)-DATEVALUE(D50)))</f>
        <v>1</v>
      </c>
      <c r="G50" s="11" t="n">
        <v>34119</v>
      </c>
      <c r="H50" s="11" t="n">
        <v>20124</v>
      </c>
      <c r="I50" s="11"/>
      <c r="J50" s="11"/>
      <c r="K50" s="11"/>
      <c r="L50" s="12" t="n">
        <v>335.72</v>
      </c>
      <c r="M50" s="13" t="n">
        <v>0.12</v>
      </c>
      <c r="N50" s="14" t="n">
        <f aca="false">IF(G50="","",G50/F50)</f>
        <v>34119</v>
      </c>
      <c r="O50" s="14" t="n">
        <f aca="false">IF(COUNT(H50:K50)=0,"",MIN(H50:K50)/F50)</f>
        <v>20124</v>
      </c>
      <c r="P50" s="14" t="n">
        <f aca="false">IF(L50="","",L50*95/F50)</f>
        <v>31893.4</v>
      </c>
      <c r="Q50" s="15" t="n">
        <f aca="false">IF(OR(N50="",O50=""),"",(IF(AND(N50&gt;7500,O50&gt;7500),O50/(1+IF(O50&lt;=1000,0,IF(O50&lt;=7500,0.05,0.18)))-IF(AND(N50&gt;7500,O50&gt;7500),N50/1.18,N50),(O50-IF(AND(N50&gt;7500,O50&gt;7500),N50/1.18,N50))/(1+IF(O50&lt;=1000,0,IF(O50&lt;=7500,0.05,0.18)))))/(IF(AND(N50&gt;7500,O50&gt;7500),N50/1.18,N50)))</f>
        <v>-0.41018201002374</v>
      </c>
      <c r="R50" s="15" t="n">
        <f aca="false">IF(OR(N50="",O50=""),"",((O50-N50)/1.18)/N50)</f>
        <v>-0.347611872901475</v>
      </c>
      <c r="S50" s="15" t="n">
        <f aca="false">IF(OR(P50="",O50=""),"",(P50-O50)/O50)</f>
        <v>0.584843967402107</v>
      </c>
      <c r="T50" s="9" t="str">
        <f aca="false">IF(AND(D50="",G50&lt;&gt;""),"no dates - assumed 1 night",IF(Q50="","",IF(Q50&gt;1.5,"check: markup &gt;150%",IF(Q50&lt;0,"below cost",""))))</f>
        <v>no dates - assumed 1 night</v>
      </c>
    </row>
    <row r="51" customFormat="false" ht="15" hidden="false" customHeight="false" outlineLevel="0" collapsed="false">
      <c r="A51" s="9" t="s">
        <v>9</v>
      </c>
      <c r="B51" s="9" t="s">
        <v>66</v>
      </c>
      <c r="C51" s="9" t="s">
        <v>54</v>
      </c>
      <c r="D51" s="16"/>
      <c r="E51" s="16"/>
      <c r="F51" s="9" t="n">
        <f aca="false">IF(OR(D51="",E51=""),1,MAX(1,DATEVALUE(E51)-DATEVALUE(D51)))</f>
        <v>1</v>
      </c>
      <c r="G51" s="11" t="n">
        <v>19478</v>
      </c>
      <c r="H51" s="11" t="n">
        <v>20124</v>
      </c>
      <c r="I51" s="11"/>
      <c r="J51" s="11"/>
      <c r="K51" s="11"/>
      <c r="L51" s="12" t="n">
        <v>232.42</v>
      </c>
      <c r="M51" s="13" t="n">
        <v>0.12</v>
      </c>
      <c r="N51" s="14" t="n">
        <f aca="false">IF(G51="","",G51/F51)</f>
        <v>19478</v>
      </c>
      <c r="O51" s="14" t="n">
        <f aca="false">IF(COUNT(H51:K51)=0,"",MIN(H51:K51)/F51)</f>
        <v>20124</v>
      </c>
      <c r="P51" s="14" t="n">
        <f aca="false">IF(L51="","",L51*95/F51)</f>
        <v>22079.9</v>
      </c>
      <c r="Q51" s="15" t="n">
        <f aca="false">IF(OR(N51="",O51=""),"",(IF(AND(N51&gt;7500,O51&gt;7500),O51/(1+IF(O51&lt;=1000,0,IF(O51&lt;=7500,0.05,0.18)))-IF(AND(N51&gt;7500,O51&gt;7500),N51/1.18,N51),(O51-IF(AND(N51&gt;7500,O51&gt;7500),N51/1.18,N51))/(1+IF(O51&lt;=1000,0,IF(O51&lt;=7500,0.05,0.18)))))/(IF(AND(N51&gt;7500,O51&gt;7500),N51/1.18,N51)))</f>
        <v>0.0331656227538762</v>
      </c>
      <c r="R51" s="15" t="n">
        <f aca="false">IF(OR(N51="",O51=""),"",((O51-N51)/1.18)/N51)</f>
        <v>0.028106459960912</v>
      </c>
      <c r="S51" s="15" t="n">
        <f aca="false">IF(OR(P51="",O51=""),"",(P51-O51)/O51)</f>
        <v>0.0971924070761279</v>
      </c>
      <c r="T51" s="9" t="str">
        <f aca="false">IF(AND(D51="",G51&lt;&gt;""),"no dates - assumed 1 night",IF(Q51="","",IF(Q51&gt;1.5,"check: markup &gt;150%",IF(Q51&lt;0,"below cost",""))))</f>
        <v>no dates - assumed 1 night</v>
      </c>
    </row>
    <row r="52" customFormat="false" ht="15" hidden="false" customHeight="false" outlineLevel="0" collapsed="false">
      <c r="A52" s="9" t="s">
        <v>9</v>
      </c>
      <c r="B52" s="9" t="s">
        <v>67</v>
      </c>
      <c r="C52" s="9" t="s">
        <v>41</v>
      </c>
      <c r="D52" s="10" t="s">
        <v>42</v>
      </c>
      <c r="E52" s="10" t="s">
        <v>43</v>
      </c>
      <c r="F52" s="9" t="n">
        <f aca="false">IF(OR(D52="",E52=""),1,MAX(1,DATEVALUE(E52)-DATEVALUE(D52)))</f>
        <v>3</v>
      </c>
      <c r="G52" s="11" t="n">
        <v>23307</v>
      </c>
      <c r="H52" s="11" t="n">
        <v>26977</v>
      </c>
      <c r="I52" s="11"/>
      <c r="J52" s="11"/>
      <c r="K52" s="11"/>
      <c r="L52" s="12"/>
      <c r="M52" s="13"/>
      <c r="N52" s="14" t="n">
        <f aca="false">IF(G52="","",G52/F52)</f>
        <v>7769</v>
      </c>
      <c r="O52" s="14" t="n">
        <f aca="false">IF(COUNT(H52:K52)=0,"",MIN(H52:K52)/F52)</f>
        <v>8992.33333333333</v>
      </c>
      <c r="P52" s="14" t="str">
        <f aca="false">IF(L52="","",L52*95/F52)</f>
        <v/>
      </c>
      <c r="Q52" s="15" t="n">
        <f aca="false">IF(OR(N52="",O52=""),"",(IF(AND(N52&gt;7500,O52&gt;7500),O52/(1+IF(O52&lt;=1000,0,IF(O52&lt;=7500,0.05,0.18)))-IF(AND(N52&gt;7500,O52&gt;7500),N52/1.18,N52),(O52-IF(AND(N52&gt;7500,O52&gt;7500),N52/1.18,N52))/(1+IF(O52&lt;=1000,0,IF(O52&lt;=7500,0.05,0.18)))))/(IF(AND(N52&gt;7500,O52&gt;7500),N52/1.18,N52)))</f>
        <v>0.157463423005964</v>
      </c>
      <c r="R52" s="15" t="n">
        <f aca="false">IF(OR(N52="",O52=""),"",((O52-N52)/1.18)/N52)</f>
        <v>0.133443578818614</v>
      </c>
      <c r="S52" s="15" t="str">
        <f aca="false">IF(OR(P52="",O52=""),"",(P52-O52)/O52)</f>
        <v/>
      </c>
      <c r="T52" s="9" t="str">
        <f aca="false">IF(AND(D52="",G52&lt;&gt;""),"no dates - assumed 1 night",IF(Q52="","",IF(Q52&gt;1.5,"check: markup &gt;150%",IF(Q52&lt;0,"below cost",""))))</f>
        <v/>
      </c>
    </row>
    <row r="53" customFormat="false" ht="15" hidden="false" customHeight="false" outlineLevel="0" collapsed="false">
      <c r="A53" s="9" t="s">
        <v>9</v>
      </c>
      <c r="B53" s="9" t="s">
        <v>67</v>
      </c>
      <c r="C53" s="9" t="s">
        <v>44</v>
      </c>
      <c r="D53" s="10" t="s">
        <v>45</v>
      </c>
      <c r="E53" s="10" t="s">
        <v>46</v>
      </c>
      <c r="F53" s="9" t="n">
        <f aca="false">IF(OR(D53="",E53=""),1,MAX(1,DATEVALUE(E53)-DATEVALUE(D53)))</f>
        <v>3</v>
      </c>
      <c r="G53" s="11" t="n">
        <v>18872</v>
      </c>
      <c r="H53" s="11" t="n">
        <v>22223</v>
      </c>
      <c r="I53" s="11"/>
      <c r="J53" s="11"/>
      <c r="K53" s="11"/>
      <c r="L53" s="12"/>
      <c r="M53" s="13"/>
      <c r="N53" s="14" t="n">
        <f aca="false">IF(G53="","",G53/F53)</f>
        <v>6290.66666666667</v>
      </c>
      <c r="O53" s="14" t="n">
        <f aca="false">IF(COUNT(H53:K53)=0,"",MIN(H53:K53)/F53)</f>
        <v>7407.66666666667</v>
      </c>
      <c r="P53" s="14" t="str">
        <f aca="false">IF(L53="","",L53*95/F53)</f>
        <v/>
      </c>
      <c r="Q53" s="15" t="n">
        <f aca="false">IF(OR(N53="",O53=""),"",(IF(AND(N53&gt;7500,O53&gt;7500),O53/(1+IF(O53&lt;=1000,0,IF(O53&lt;=7500,0.05,0.18)))-IF(AND(N53&gt;7500,O53&gt;7500),N53/1.18,N53),(O53-IF(AND(N53&gt;7500,O53&gt;7500),N53/1.18,N53))/(1+IF(O53&lt;=1000,0,IF(O53&lt;=7500,0.05,0.18)))))/(IF(AND(N53&gt;7500,O53&gt;7500),N53/1.18,N53)))</f>
        <v>0.169109186701387</v>
      </c>
      <c r="R53" s="15" t="n">
        <f aca="false">IF(OR(N53="",O53=""),"",((O53-N53)/1.18)/N53)</f>
        <v>0.150478513590217</v>
      </c>
      <c r="S53" s="15" t="str">
        <f aca="false">IF(OR(P53="",O53=""),"",(P53-O53)/O53)</f>
        <v/>
      </c>
      <c r="T53" s="9" t="str">
        <f aca="false">IF(AND(D53="",G53&lt;&gt;""),"no dates - assumed 1 night",IF(Q53="","",IF(Q53&gt;1.5,"check: markup &gt;150%",IF(Q53&lt;0,"below cost",""))))</f>
        <v/>
      </c>
    </row>
    <row r="54" customFormat="false" ht="15" hidden="false" customHeight="false" outlineLevel="0" collapsed="false">
      <c r="A54" s="9" t="s">
        <v>9</v>
      </c>
      <c r="B54" s="9" t="s">
        <v>67</v>
      </c>
      <c r="C54" s="9" t="s">
        <v>47</v>
      </c>
      <c r="D54" s="10" t="s">
        <v>48</v>
      </c>
      <c r="E54" s="10" t="s">
        <v>49</v>
      </c>
      <c r="F54" s="9" t="n">
        <f aca="false">IF(OR(D54="",E54=""),1,MAX(1,DATEVALUE(E54)-DATEVALUE(D54)))</f>
        <v>3</v>
      </c>
      <c r="G54" s="11" t="n">
        <v>31381</v>
      </c>
      <c r="H54" s="11" t="n">
        <v>36108</v>
      </c>
      <c r="I54" s="11"/>
      <c r="J54" s="11"/>
      <c r="K54" s="11"/>
      <c r="L54" s="12"/>
      <c r="M54" s="13"/>
      <c r="N54" s="14" t="n">
        <f aca="false">IF(G54="","",G54/F54)</f>
        <v>10460.3333333333</v>
      </c>
      <c r="O54" s="14" t="n">
        <f aca="false">IF(COUNT(H54:K54)=0,"",MIN(H54:K54)/F54)</f>
        <v>12036</v>
      </c>
      <c r="P54" s="14" t="str">
        <f aca="false">IF(L54="","",L54*95/F54)</f>
        <v/>
      </c>
      <c r="Q54" s="15" t="n">
        <f aca="false">IF(OR(N54="",O54=""),"",(IF(AND(N54&gt;7500,O54&gt;7500),O54/(1+IF(O54&lt;=1000,0,IF(O54&lt;=7500,0.05,0.18)))-IF(AND(N54&gt;7500,O54&gt;7500),N54/1.18,N54),(O54-IF(AND(N54&gt;7500,O54&gt;7500),N54/1.18,N54))/(1+IF(O54&lt;=1000,0,IF(O54&lt;=7500,0.05,0.18)))))/(IF(AND(N54&gt;7500,O54&gt;7500),N54/1.18,N54)))</f>
        <v>0.150632548357286</v>
      </c>
      <c r="R54" s="15" t="n">
        <f aca="false">IF(OR(N54="",O54=""),"",((O54-N54)/1.18)/N54)</f>
        <v>0.1276547019977</v>
      </c>
      <c r="S54" s="15" t="str">
        <f aca="false">IF(OR(P54="",O54=""),"",(P54-O54)/O54)</f>
        <v/>
      </c>
      <c r="T54" s="9" t="str">
        <f aca="false">IF(AND(D54="",G54&lt;&gt;""),"no dates - assumed 1 night",IF(Q54="","",IF(Q54&gt;1.5,"check: markup &gt;150%",IF(Q54&lt;0,"below cost",""))))</f>
        <v/>
      </c>
    </row>
    <row r="55" customFormat="false" ht="15" hidden="false" customHeight="false" outlineLevel="0" collapsed="false">
      <c r="A55" s="9" t="s">
        <v>9</v>
      </c>
      <c r="B55" s="9" t="s">
        <v>67</v>
      </c>
      <c r="C55" s="9" t="s">
        <v>50</v>
      </c>
      <c r="D55" s="10" t="s">
        <v>51</v>
      </c>
      <c r="E55" s="10" t="s">
        <v>52</v>
      </c>
      <c r="F55" s="9" t="n">
        <f aca="false">IF(OR(D55="",E55=""),1,MAX(1,DATEVALUE(E55)-DATEVALUE(D55)))</f>
        <v>3</v>
      </c>
      <c r="G55" s="11" t="n">
        <v>85860</v>
      </c>
      <c r="H55" s="11" t="n">
        <v>87910</v>
      </c>
      <c r="I55" s="11"/>
      <c r="J55" s="11"/>
      <c r="K55" s="11"/>
      <c r="L55" s="12"/>
      <c r="M55" s="13"/>
      <c r="N55" s="14" t="n">
        <f aca="false">IF(G55="","",G55/F55)</f>
        <v>28620</v>
      </c>
      <c r="O55" s="14" t="n">
        <f aca="false">IF(COUNT(H55:K55)=0,"",MIN(H55:K55)/F55)</f>
        <v>29303.3333333333</v>
      </c>
      <c r="P55" s="14" t="str">
        <f aca="false">IF(L55="","",L55*95/F55)</f>
        <v/>
      </c>
      <c r="Q55" s="15" t="n">
        <f aca="false">IF(OR(N55="",O55=""),"",(IF(AND(N55&gt;7500,O55&gt;7500),O55/(1+IF(O55&lt;=1000,0,IF(O55&lt;=7500,0.05,0.18)))-IF(AND(N55&gt;7500,O55&gt;7500),N55/1.18,N55),(O55-IF(AND(N55&gt;7500,O55&gt;7500),N55/1.18,N55))/(1+IF(O55&lt;=1000,0,IF(O55&lt;=7500,0.05,0.18)))))/(IF(AND(N55&gt;7500,O55&gt;7500),N55/1.18,N55)))</f>
        <v>0.0238760773351967</v>
      </c>
      <c r="R55" s="15" t="n">
        <f aca="false">IF(OR(N55="",O55=""),"",((O55-N55)/1.18)/N55)</f>
        <v>0.0202339638433871</v>
      </c>
      <c r="S55" s="15" t="str">
        <f aca="false">IF(OR(P55="",O55=""),"",(P55-O55)/O55)</f>
        <v/>
      </c>
      <c r="T55" s="9" t="str">
        <f aca="false">IF(AND(D55="",G55&lt;&gt;""),"no dates - assumed 1 night",IF(Q55="","",IF(Q55&gt;1.5,"check: markup &gt;150%",IF(Q55&lt;0,"below cost",""))))</f>
        <v/>
      </c>
    </row>
    <row r="56" customFormat="false" ht="15" hidden="false" customHeight="false" outlineLevel="0" collapsed="false">
      <c r="A56" s="9" t="s">
        <v>9</v>
      </c>
      <c r="B56" s="9" t="s">
        <v>67</v>
      </c>
      <c r="C56" s="9" t="s">
        <v>54</v>
      </c>
      <c r="D56" s="10" t="s">
        <v>55</v>
      </c>
      <c r="E56" s="10" t="s">
        <v>56</v>
      </c>
      <c r="F56" s="9" t="n">
        <f aca="false">IF(OR(D56="",E56=""),1,MAX(1,DATEVALUE(E56)-DATEVALUE(D56)))</f>
        <v>3</v>
      </c>
      <c r="G56" s="11" t="n">
        <v>36611</v>
      </c>
      <c r="H56" s="11" t="n">
        <v>42126</v>
      </c>
      <c r="I56" s="11"/>
      <c r="J56" s="11"/>
      <c r="K56" s="11"/>
      <c r="L56" s="12"/>
      <c r="M56" s="13"/>
      <c r="N56" s="14" t="n">
        <f aca="false">IF(G56="","",G56/F56)</f>
        <v>12203.6666666667</v>
      </c>
      <c r="O56" s="14" t="n">
        <f aca="false">IF(COUNT(H56:K56)=0,"",MIN(H56:K56)/F56)</f>
        <v>14042</v>
      </c>
      <c r="P56" s="14" t="str">
        <f aca="false">IF(L56="","",L56*95/F56)</f>
        <v/>
      </c>
      <c r="Q56" s="15" t="n">
        <f aca="false">IF(OR(N56="",O56=""),"",(IF(AND(N56&gt;7500,O56&gt;7500),O56/(1+IF(O56&lt;=1000,0,IF(O56&lt;=7500,0.05,0.18)))-IF(AND(N56&gt;7500,O56&gt;7500),N56/1.18,N56),(O56-IF(AND(N56&gt;7500,O56&gt;7500),N56/1.18,N56))/(1+IF(O56&lt;=1000,0,IF(O56&lt;=7500,0.05,0.18)))))/(IF(AND(N56&gt;7500,O56&gt;7500),N56/1.18,N56)))</f>
        <v>0.150637786457622</v>
      </c>
      <c r="R56" s="15" t="n">
        <f aca="false">IF(OR(N56="",O56=""),"",((O56-N56)/1.18)/N56)</f>
        <v>0.127659141065781</v>
      </c>
      <c r="S56" s="15" t="str">
        <f aca="false">IF(OR(P56="",O56=""),"",(P56-O56)/O56)</f>
        <v/>
      </c>
      <c r="T56" s="9" t="str">
        <f aca="false">IF(AND(D56="",G56&lt;&gt;""),"no dates - assumed 1 night",IF(Q56="","",IF(Q56&gt;1.5,"check: markup &gt;150%",IF(Q56&lt;0,"below cost",""))))</f>
        <v/>
      </c>
    </row>
    <row r="57" customFormat="false" ht="15" hidden="false" customHeight="false" outlineLevel="0" collapsed="false">
      <c r="A57" s="9" t="s">
        <v>9</v>
      </c>
      <c r="B57" s="9" t="s">
        <v>68</v>
      </c>
      <c r="C57" s="9" t="s">
        <v>41</v>
      </c>
      <c r="D57" s="10" t="s">
        <v>42</v>
      </c>
      <c r="E57" s="10" t="s">
        <v>43</v>
      </c>
      <c r="F57" s="9" t="n">
        <f aca="false">IF(OR(D57="",E57=""),1,MAX(1,DATEVALUE(E57)-DATEVALUE(D57)))</f>
        <v>3</v>
      </c>
      <c r="G57" s="11" t="n">
        <v>30138</v>
      </c>
      <c r="H57" s="11" t="n">
        <v>44518</v>
      </c>
      <c r="I57" s="11"/>
      <c r="J57" s="11"/>
      <c r="K57" s="11"/>
      <c r="L57" s="12" t="n">
        <v>392.01</v>
      </c>
      <c r="M57" s="13" t="n">
        <v>0.15</v>
      </c>
      <c r="N57" s="14" t="n">
        <f aca="false">IF(G57="","",G57/F57)</f>
        <v>10046</v>
      </c>
      <c r="O57" s="14" t="n">
        <f aca="false">IF(COUNT(H57:K57)=0,"",MIN(H57:K57)/F57)</f>
        <v>14839.3333333333</v>
      </c>
      <c r="P57" s="14" t="n">
        <f aca="false">IF(L57="","",L57*95/F57)</f>
        <v>12413.65</v>
      </c>
      <c r="Q57" s="15" t="n">
        <f aca="false">IF(OR(N57="",O57=""),"",(IF(AND(N57&gt;7500,O57&gt;7500),O57/(1+IF(O57&lt;=1000,0,IF(O57&lt;=7500,0.05,0.18)))-IF(AND(N57&gt;7500,O57&gt;7500),N57/1.18,N57),(O57-IF(AND(N57&gt;7500,O57&gt;7500),N57/1.18,N57))/(1+IF(O57&lt;=1000,0,IF(O57&lt;=7500,0.05,0.18)))))/(IF(AND(N57&gt;7500,O57&gt;7500),N57/1.18,N57)))</f>
        <v>0.47713849625058</v>
      </c>
      <c r="R57" s="15" t="n">
        <f aca="false">IF(OR(N57="",O57=""),"",((O57-N57)/1.18)/N57)</f>
        <v>0.404354657839475</v>
      </c>
      <c r="S57" s="15" t="n">
        <f aca="false">IF(OR(P57="",O57=""),"",(P57-O57)/O57)</f>
        <v>-0.163463093580125</v>
      </c>
      <c r="T57" s="9" t="str">
        <f aca="false">IF(AND(D57="",G57&lt;&gt;""),"no dates - assumed 1 night",IF(Q57="","",IF(Q57&gt;1.5,"check: markup &gt;150%",IF(Q57&lt;0,"below cost",""))))</f>
        <v/>
      </c>
    </row>
    <row r="58" customFormat="false" ht="15" hidden="false" customHeight="false" outlineLevel="0" collapsed="false">
      <c r="A58" s="9" t="s">
        <v>9</v>
      </c>
      <c r="B58" s="9" t="s">
        <v>68</v>
      </c>
      <c r="C58" s="9" t="s">
        <v>44</v>
      </c>
      <c r="D58" s="10" t="s">
        <v>45</v>
      </c>
      <c r="E58" s="10" t="s">
        <v>46</v>
      </c>
      <c r="F58" s="9" t="n">
        <f aca="false">IF(OR(D58="",E58=""),1,MAX(1,DATEVALUE(E58)-DATEVALUE(D58)))</f>
        <v>3</v>
      </c>
      <c r="G58" s="11" t="n">
        <v>30123</v>
      </c>
      <c r="H58" s="11" t="n">
        <v>35012</v>
      </c>
      <c r="I58" s="11"/>
      <c r="J58" s="11"/>
      <c r="K58" s="11"/>
      <c r="L58" s="12" t="n">
        <v>394.26</v>
      </c>
      <c r="M58" s="13" t="n">
        <v>0.16</v>
      </c>
      <c r="N58" s="14" t="n">
        <f aca="false">IF(G58="","",G58/F58)</f>
        <v>10041</v>
      </c>
      <c r="O58" s="14" t="n">
        <f aca="false">IF(COUNT(H58:K58)=0,"",MIN(H58:K58)/F58)</f>
        <v>11670.6666666667</v>
      </c>
      <c r="P58" s="14" t="n">
        <f aca="false">IF(L58="","",L58*95/F58)</f>
        <v>12484.9</v>
      </c>
      <c r="Q58" s="15" t="n">
        <f aca="false">IF(OR(N58="",O58=""),"",(IF(AND(N58&gt;7500,O58&gt;7500),O58/(1+IF(O58&lt;=1000,0,IF(O58&lt;=7500,0.05,0.18)))-IF(AND(N58&gt;7500,O58&gt;7500),N58/1.18,N58),(O58-IF(AND(N58&gt;7500,O58&gt;7500),N58/1.18,N58))/(1+IF(O58&lt;=1000,0,IF(O58&lt;=7500,0.05,0.18)))))/(IF(AND(N58&gt;7500,O58&gt;7500),N58/1.18,N58)))</f>
        <v>0.162301231617037</v>
      </c>
      <c r="R58" s="15" t="n">
        <f aca="false">IF(OR(N58="",O58=""),"",((O58-N58)/1.18)/N58)</f>
        <v>0.137543416624607</v>
      </c>
      <c r="S58" s="15" t="n">
        <f aca="false">IF(OR(P58="",O58=""),"",(P58-O58)/O58)</f>
        <v>0.0697675082828745</v>
      </c>
      <c r="T58" s="9" t="str">
        <f aca="false">IF(AND(D58="",G58&lt;&gt;""),"no dates - assumed 1 night",IF(Q58="","",IF(Q58&gt;1.5,"check: markup &gt;150%",IF(Q58&lt;0,"below cost",""))))</f>
        <v/>
      </c>
    </row>
    <row r="59" customFormat="false" ht="15" hidden="false" customHeight="false" outlineLevel="0" collapsed="false">
      <c r="A59" s="9" t="s">
        <v>9</v>
      </c>
      <c r="B59" s="9" t="s">
        <v>68</v>
      </c>
      <c r="C59" s="9" t="s">
        <v>50</v>
      </c>
      <c r="D59" s="10" t="s">
        <v>51</v>
      </c>
      <c r="E59" s="10" t="s">
        <v>52</v>
      </c>
      <c r="F59" s="9" t="n">
        <f aca="false">IF(OR(D59="",E59=""),1,MAX(1,DATEVALUE(E59)-DATEVALUE(D59)))</f>
        <v>3</v>
      </c>
      <c r="G59" s="11" t="n">
        <v>94320</v>
      </c>
      <c r="H59" s="11" t="n">
        <v>110129</v>
      </c>
      <c r="I59" s="11"/>
      <c r="J59" s="11"/>
      <c r="K59" s="11"/>
      <c r="L59" s="12" t="n">
        <v>1239.08</v>
      </c>
      <c r="M59" s="13" t="n">
        <v>0.15</v>
      </c>
      <c r="N59" s="14" t="n">
        <f aca="false">IF(G59="","",G59/F59)</f>
        <v>31440</v>
      </c>
      <c r="O59" s="14" t="n">
        <f aca="false">IF(COUNT(H59:K59)=0,"",MIN(H59:K59)/F59)</f>
        <v>36709.6666666667</v>
      </c>
      <c r="P59" s="14" t="n">
        <f aca="false">IF(L59="","",L59*95/F59)</f>
        <v>39237.5333333333</v>
      </c>
      <c r="Q59" s="15" t="n">
        <f aca="false">IF(OR(N59="",O59=""),"",(IF(AND(N59&gt;7500,O59&gt;7500),O59/(1+IF(O59&lt;=1000,0,IF(O59&lt;=7500,0.05,0.18)))-IF(AND(N59&gt;7500,O59&gt;7500),N59/1.18,N59),(O59-IF(AND(N59&gt;7500,O59&gt;7500),N59/1.18,N59))/(1+IF(O59&lt;=1000,0,IF(O59&lt;=7500,0.05,0.18)))))/(IF(AND(N59&gt;7500,O59&gt;7500),N59/1.18,N59)))</f>
        <v>0.16761026293469</v>
      </c>
      <c r="R59" s="15" t="n">
        <f aca="false">IF(OR(N59="",O59=""),"",((O59-N59)/1.18)/N59)</f>
        <v>0.142042595707365</v>
      </c>
      <c r="S59" s="15" t="n">
        <f aca="false">IF(OR(P59="",O59=""),"",(P59-O59)/O59)</f>
        <v>0.068861062935285</v>
      </c>
      <c r="T59" s="9" t="str">
        <f aca="false">IF(AND(D59="",G59&lt;&gt;""),"no dates - assumed 1 night",IF(Q59="","",IF(Q59&gt;1.5,"check: markup &gt;150%",IF(Q59&lt;0,"below cost",""))))</f>
        <v/>
      </c>
    </row>
    <row r="60" customFormat="false" ht="15" hidden="false" customHeight="false" outlineLevel="0" collapsed="false">
      <c r="A60" s="9" t="s">
        <v>9</v>
      </c>
      <c r="B60" s="9" t="s">
        <v>68</v>
      </c>
      <c r="C60" s="9" t="s">
        <v>54</v>
      </c>
      <c r="D60" s="10" t="s">
        <v>55</v>
      </c>
      <c r="E60" s="10" t="s">
        <v>56</v>
      </c>
      <c r="F60" s="9" t="n">
        <f aca="false">IF(OR(D60="",E60=""),1,MAX(1,DATEVALUE(E60)-DATEVALUE(D60)))</f>
        <v>3</v>
      </c>
      <c r="G60" s="11" t="n">
        <v>73241</v>
      </c>
      <c r="H60" s="11" t="n">
        <v>94618</v>
      </c>
      <c r="I60" s="11"/>
      <c r="J60" s="11"/>
      <c r="K60" s="11"/>
      <c r="L60" s="12" t="n">
        <v>954.15</v>
      </c>
      <c r="M60" s="13" t="n">
        <v>0.15</v>
      </c>
      <c r="N60" s="14" t="n">
        <f aca="false">IF(G60="","",G60/F60)</f>
        <v>24413.6666666667</v>
      </c>
      <c r="O60" s="14" t="n">
        <f aca="false">IF(COUNT(H60:K60)=0,"",MIN(H60:K60)/F60)</f>
        <v>31539.3333333333</v>
      </c>
      <c r="P60" s="14" t="n">
        <f aca="false">IF(L60="","",L60*95/F60)</f>
        <v>30214.75</v>
      </c>
      <c r="Q60" s="15" t="n">
        <f aca="false">IF(OR(N60="",O60=""),"",(IF(AND(N60&gt;7500,O60&gt;7500),O60/(1+IF(O60&lt;=1000,0,IF(O60&lt;=7500,0.05,0.18)))-IF(AND(N60&gt;7500,O60&gt;7500),N60/1.18,N60),(O60-IF(AND(N60&gt;7500,O60&gt;7500),N60/1.18,N60))/(1+IF(O60&lt;=1000,0,IF(O60&lt;=7500,0.05,0.18)))))/(IF(AND(N60&gt;7500,O60&gt;7500),N60/1.18,N60)))</f>
        <v>0.291872038885324</v>
      </c>
      <c r="R60" s="15" t="n">
        <f aca="false">IF(OR(N60="",O60=""),"",((O60-N60)/1.18)/N60)</f>
        <v>0.247349185496037</v>
      </c>
      <c r="S60" s="15" t="n">
        <f aca="false">IF(OR(P60="",O60=""),"",(P60-O60)/O60)</f>
        <v>-0.0419978228244097</v>
      </c>
      <c r="T60" s="9" t="str">
        <f aca="false">IF(AND(D60="",G60&lt;&gt;""),"no dates - assumed 1 night",IF(Q60="","",IF(Q60&gt;1.5,"check: markup &gt;150%",IF(Q60&lt;0,"below cost",""))))</f>
        <v/>
      </c>
    </row>
    <row r="61" customFormat="false" ht="15" hidden="false" customHeight="false" outlineLevel="0" collapsed="false">
      <c r="A61" s="9" t="s">
        <v>9</v>
      </c>
      <c r="B61" s="9" t="s">
        <v>69</v>
      </c>
      <c r="C61" s="9" t="s">
        <v>41</v>
      </c>
      <c r="D61" s="10" t="s">
        <v>42</v>
      </c>
      <c r="E61" s="10" t="s">
        <v>43</v>
      </c>
      <c r="F61" s="9" t="n">
        <f aca="false">IF(OR(D61="",E61=""),1,MAX(1,DATEVALUE(E61)-DATEVALUE(D61)))</f>
        <v>3</v>
      </c>
      <c r="G61" s="11" t="n">
        <v>23026</v>
      </c>
      <c r="H61" s="11" t="n">
        <v>25976</v>
      </c>
      <c r="I61" s="11"/>
      <c r="J61" s="11"/>
      <c r="K61" s="11"/>
      <c r="L61" s="12"/>
      <c r="M61" s="13"/>
      <c r="N61" s="14" t="n">
        <f aca="false">IF(G61="","",G61/F61)</f>
        <v>7675.33333333333</v>
      </c>
      <c r="O61" s="14" t="n">
        <f aca="false">IF(COUNT(H61:K61)=0,"",MIN(H61:K61)/F61)</f>
        <v>8658.66666666667</v>
      </c>
      <c r="P61" s="14" t="str">
        <f aca="false">IF(L61="","",L61*95/F61)</f>
        <v/>
      </c>
      <c r="Q61" s="15" t="n">
        <f aca="false">IF(OR(N61="",O61=""),"",(IF(AND(N61&gt;7500,O61&gt;7500),O61/(1+IF(O61&lt;=1000,0,IF(O61&lt;=7500,0.05,0.18)))-IF(AND(N61&gt;7500,O61&gt;7500),N61/1.18,N61),(O61-IF(AND(N61&gt;7500,O61&gt;7500),N61/1.18,N61))/(1+IF(O61&lt;=1000,0,IF(O61&lt;=7500,0.05,0.18)))))/(IF(AND(N61&gt;7500,O61&gt;7500),N61/1.18,N61)))</f>
        <v>0.1281160427343</v>
      </c>
      <c r="R61" s="15" t="n">
        <f aca="false">IF(OR(N61="",O61=""),"",((O61-N61)/1.18)/N61)</f>
        <v>0.108572917571441</v>
      </c>
      <c r="S61" s="15" t="str">
        <f aca="false">IF(OR(P61="",O61=""),"",(P61-O61)/O61)</f>
        <v/>
      </c>
      <c r="T61" s="9" t="str">
        <f aca="false">IF(AND(D61="",G61&lt;&gt;""),"no dates - assumed 1 night",IF(Q61="","",IF(Q61&gt;1.5,"check: markup &gt;150%",IF(Q61&lt;0,"below cost",""))))</f>
        <v/>
      </c>
    </row>
    <row r="62" customFormat="false" ht="15" hidden="false" customHeight="false" outlineLevel="0" collapsed="false">
      <c r="A62" s="9" t="s">
        <v>9</v>
      </c>
      <c r="B62" s="9" t="s">
        <v>69</v>
      </c>
      <c r="C62" s="9" t="s">
        <v>44</v>
      </c>
      <c r="D62" s="10" t="s">
        <v>45</v>
      </c>
      <c r="E62" s="10" t="s">
        <v>46</v>
      </c>
      <c r="F62" s="9" t="n">
        <f aca="false">IF(OR(D62="",E62=""),1,MAX(1,DATEVALUE(E62)-DATEVALUE(D62)))</f>
        <v>3</v>
      </c>
      <c r="G62" s="11" t="n">
        <v>17828</v>
      </c>
      <c r="H62" s="11" t="n">
        <v>20126</v>
      </c>
      <c r="I62" s="11"/>
      <c r="J62" s="11"/>
      <c r="K62" s="11"/>
      <c r="L62" s="12"/>
      <c r="M62" s="13"/>
      <c r="N62" s="14" t="n">
        <f aca="false">IF(G62="","",G62/F62)</f>
        <v>5942.66666666667</v>
      </c>
      <c r="O62" s="14" t="n">
        <f aca="false">IF(COUNT(H62:K62)=0,"",MIN(H62:K62)/F62)</f>
        <v>6708.66666666667</v>
      </c>
      <c r="P62" s="14" t="str">
        <f aca="false">IF(L62="","",L62*95/F62)</f>
        <v/>
      </c>
      <c r="Q62" s="15" t="n">
        <f aca="false">IF(OR(N62="",O62=""),"",(IF(AND(N62&gt;7500,O62&gt;7500),O62/(1+IF(O62&lt;=1000,0,IF(O62&lt;=7500,0.05,0.18)))-IF(AND(N62&gt;7500,O62&gt;7500),N62/1.18,N62),(O62-IF(AND(N62&gt;7500,O62&gt;7500),N62/1.18,N62))/(1+IF(O62&lt;=1000,0,IF(O62&lt;=7500,0.05,0.18)))))/(IF(AND(N62&gt;7500,O62&gt;7500),N62/1.18,N62)))</f>
        <v>0.122760344882849</v>
      </c>
      <c r="R62" s="15" t="n">
        <f aca="false">IF(OR(N62="",O62=""),"",((O62-N62)/1.18)/N62)</f>
        <v>0.10923590010762</v>
      </c>
      <c r="S62" s="15" t="str">
        <f aca="false">IF(OR(P62="",O62=""),"",(P62-O62)/O62)</f>
        <v/>
      </c>
      <c r="T62" s="9" t="str">
        <f aca="false">IF(AND(D62="",G62&lt;&gt;""),"no dates - assumed 1 night",IF(Q62="","",IF(Q62&gt;1.5,"check: markup &gt;150%",IF(Q62&lt;0,"below cost",""))))</f>
        <v/>
      </c>
    </row>
    <row r="63" customFormat="false" ht="15" hidden="false" customHeight="false" outlineLevel="0" collapsed="false">
      <c r="A63" s="9" t="s">
        <v>9</v>
      </c>
      <c r="B63" s="9" t="s">
        <v>69</v>
      </c>
      <c r="C63" s="9" t="s">
        <v>47</v>
      </c>
      <c r="D63" s="10" t="s">
        <v>48</v>
      </c>
      <c r="E63" s="10" t="s">
        <v>49</v>
      </c>
      <c r="F63" s="9" t="n">
        <f aca="false">IF(OR(D63="",E63=""),1,MAX(1,DATEVALUE(E63)-DATEVALUE(D63)))</f>
        <v>3</v>
      </c>
      <c r="G63" s="11" t="n">
        <v>66362</v>
      </c>
      <c r="H63" s="11" t="n">
        <v>82836</v>
      </c>
      <c r="I63" s="11"/>
      <c r="J63" s="11"/>
      <c r="K63" s="11"/>
      <c r="L63" s="12"/>
      <c r="M63" s="13"/>
      <c r="N63" s="14" t="n">
        <f aca="false">IF(G63="","",G63/F63)</f>
        <v>22120.6666666667</v>
      </c>
      <c r="O63" s="14" t="n">
        <f aca="false">IF(COUNT(H63:K63)=0,"",MIN(H63:K63)/F63)</f>
        <v>27612</v>
      </c>
      <c r="P63" s="14" t="str">
        <f aca="false">IF(L63="","",L63*95/F63)</f>
        <v/>
      </c>
      <c r="Q63" s="15" t="n">
        <f aca="false">IF(OR(N63="",O63=""),"",(IF(AND(N63&gt;7500,O63&gt;7500),O63/(1+IF(O63&lt;=1000,0,IF(O63&lt;=7500,0.05,0.18)))-IF(AND(N63&gt;7500,O63&gt;7500),N63/1.18,N63),(O63-IF(AND(N63&gt;7500,O63&gt;7500),N63/1.18,N63))/(1+IF(O63&lt;=1000,0,IF(O63&lt;=7500,0.05,0.18)))))/(IF(AND(N63&gt;7500,O63&gt;7500),N63/1.18,N63)))</f>
        <v>0.248244477261083</v>
      </c>
      <c r="R63" s="15" t="n">
        <f aca="false">IF(OR(N63="",O63=""),"",((O63-N63)/1.18)/N63)</f>
        <v>0.210376675644986</v>
      </c>
      <c r="S63" s="15" t="str">
        <f aca="false">IF(OR(P63="",O63=""),"",(P63-O63)/O63)</f>
        <v/>
      </c>
      <c r="T63" s="9" t="str">
        <f aca="false">IF(AND(D63="",G63&lt;&gt;""),"no dates - assumed 1 night",IF(Q63="","",IF(Q63&gt;1.5,"check: markup &gt;150%",IF(Q63&lt;0,"below cost",""))))</f>
        <v/>
      </c>
    </row>
    <row r="64" customFormat="false" ht="15" hidden="false" customHeight="false" outlineLevel="0" collapsed="false">
      <c r="A64" s="9" t="s">
        <v>9</v>
      </c>
      <c r="B64" s="9" t="s">
        <v>69</v>
      </c>
      <c r="C64" s="9" t="s">
        <v>50</v>
      </c>
      <c r="D64" s="10" t="s">
        <v>51</v>
      </c>
      <c r="E64" s="10" t="s">
        <v>52</v>
      </c>
      <c r="F64" s="9" t="n">
        <f aca="false">IF(OR(D64="",E64=""),1,MAX(1,DATEVALUE(E64)-DATEVALUE(D64)))</f>
        <v>3</v>
      </c>
      <c r="G64" s="11" t="n">
        <v>66362</v>
      </c>
      <c r="H64" s="11" t="n">
        <v>82836</v>
      </c>
      <c r="I64" s="11"/>
      <c r="J64" s="11"/>
      <c r="K64" s="11"/>
      <c r="L64" s="12"/>
      <c r="M64" s="13"/>
      <c r="N64" s="14" t="n">
        <f aca="false">IF(G64="","",G64/F64)</f>
        <v>22120.6666666667</v>
      </c>
      <c r="O64" s="14" t="n">
        <f aca="false">IF(COUNT(H64:K64)=0,"",MIN(H64:K64)/F64)</f>
        <v>27612</v>
      </c>
      <c r="P64" s="14" t="str">
        <f aca="false">IF(L64="","",L64*95/F64)</f>
        <v/>
      </c>
      <c r="Q64" s="15" t="n">
        <f aca="false">IF(OR(N64="",O64=""),"",(IF(AND(N64&gt;7500,O64&gt;7500),O64/(1+IF(O64&lt;=1000,0,IF(O64&lt;=7500,0.05,0.18)))-IF(AND(N64&gt;7500,O64&gt;7500),N64/1.18,N64),(O64-IF(AND(N64&gt;7500,O64&gt;7500),N64/1.18,N64))/(1+IF(O64&lt;=1000,0,IF(O64&lt;=7500,0.05,0.18)))))/(IF(AND(N64&gt;7500,O64&gt;7500),N64/1.18,N64)))</f>
        <v>0.248244477261083</v>
      </c>
      <c r="R64" s="15" t="n">
        <f aca="false">IF(OR(N64="",O64=""),"",((O64-N64)/1.18)/N64)</f>
        <v>0.210376675644986</v>
      </c>
      <c r="S64" s="15" t="str">
        <f aca="false">IF(OR(P64="",O64=""),"",(P64-O64)/O64)</f>
        <v/>
      </c>
      <c r="T64" s="9" t="str">
        <f aca="false">IF(AND(D64="",G64&lt;&gt;""),"no dates - assumed 1 night",IF(Q64="","",IF(Q64&gt;1.5,"check: markup &gt;150%",IF(Q64&lt;0,"below cost",""))))</f>
        <v/>
      </c>
    </row>
    <row r="65" customFormat="false" ht="15" hidden="false" customHeight="false" outlineLevel="0" collapsed="false">
      <c r="A65" s="9" t="s">
        <v>9</v>
      </c>
      <c r="B65" s="9" t="s">
        <v>69</v>
      </c>
      <c r="C65" s="9" t="s">
        <v>54</v>
      </c>
      <c r="D65" s="10" t="s">
        <v>55</v>
      </c>
      <c r="E65" s="10" t="s">
        <v>56</v>
      </c>
      <c r="F65" s="9" t="n">
        <f aca="false">IF(OR(D65="",E65=""),1,MAX(1,DATEVALUE(E65)-DATEVALUE(D65)))</f>
        <v>3</v>
      </c>
      <c r="G65" s="11" t="n">
        <v>105983</v>
      </c>
      <c r="H65" s="11" t="n">
        <v>111510</v>
      </c>
      <c r="I65" s="11"/>
      <c r="J65" s="11"/>
      <c r="K65" s="11"/>
      <c r="L65" s="12"/>
      <c r="M65" s="13"/>
      <c r="N65" s="14" t="n">
        <f aca="false">IF(G65="","",G65/F65)</f>
        <v>35327.6666666667</v>
      </c>
      <c r="O65" s="14" t="n">
        <f aca="false">IF(COUNT(H65:K65)=0,"",MIN(H65:K65)/F65)</f>
        <v>37170</v>
      </c>
      <c r="P65" s="14" t="str">
        <f aca="false">IF(L65="","",L65*95/F65)</f>
        <v/>
      </c>
      <c r="Q65" s="15" t="n">
        <f aca="false">IF(OR(N65="",O65=""),"",(IF(AND(N65&gt;7500,O65&gt;7500),O65/(1+IF(O65&lt;=1000,0,IF(O65&lt;=7500,0.05,0.18)))-IF(AND(N65&gt;7500,O65&gt;7500),N65/1.18,N65),(O65-IF(AND(N65&gt;7500,O65&gt;7500),N65/1.18,N65))/(1+IF(O65&lt;=1000,0,IF(O65&lt;=7500,0.05,0.18)))))/(IF(AND(N65&gt;7500,O65&gt;7500),N65/1.18,N65)))</f>
        <v>0.0521498730928546</v>
      </c>
      <c r="R65" s="15" t="n">
        <f aca="false">IF(OR(N65="",O65=""),"",((O65-N65)/1.18)/N65)</f>
        <v>0.044194807705809</v>
      </c>
      <c r="S65" s="15" t="str">
        <f aca="false">IF(OR(P65="",O65=""),"",(P65-O65)/O65)</f>
        <v/>
      </c>
      <c r="T65" s="9" t="str">
        <f aca="false">IF(AND(D65="",G65&lt;&gt;""),"no dates - assumed 1 night",IF(Q65="","",IF(Q65&gt;1.5,"check: markup &gt;150%",IF(Q65&lt;0,"below cost",""))))</f>
        <v/>
      </c>
    </row>
    <row r="66" customFormat="false" ht="15" hidden="false" customHeight="false" outlineLevel="0" collapsed="false">
      <c r="A66" s="9" t="s">
        <v>9</v>
      </c>
      <c r="B66" s="9" t="s">
        <v>70</v>
      </c>
      <c r="C66" s="9" t="s">
        <v>41</v>
      </c>
      <c r="D66" s="10" t="s">
        <v>42</v>
      </c>
      <c r="E66" s="10" t="s">
        <v>43</v>
      </c>
      <c r="F66" s="9" t="n">
        <f aca="false">IF(OR(D66="",E66=""),1,MAX(1,DATEVALUE(E66)-DATEVALUE(D66)))</f>
        <v>3</v>
      </c>
      <c r="G66" s="11"/>
      <c r="H66" s="11" t="n">
        <v>10862</v>
      </c>
      <c r="I66" s="11"/>
      <c r="J66" s="11"/>
      <c r="K66" s="11"/>
      <c r="L66" s="12"/>
      <c r="M66" s="13"/>
      <c r="N66" s="14" t="str">
        <f aca="false">IF(G66="","",G66/F66)</f>
        <v/>
      </c>
      <c r="O66" s="14" t="n">
        <f aca="false">IF(COUNT(H66:K66)=0,"",MIN(H66:K66)/F66)</f>
        <v>3620.66666666667</v>
      </c>
      <c r="P66" s="14" t="str">
        <f aca="false">IF(L66="","",L66*95/F66)</f>
        <v/>
      </c>
      <c r="Q66" s="15" t="str">
        <f aca="false">IF(OR(N66="",O66=""),"",(IF(AND(N66&gt;7500,O66&gt;7500),O66/(1+IF(O66&lt;=1000,0,IF(O66&lt;=7500,0.05,0.18)))-IF(AND(N66&gt;7500,O66&gt;7500),N66/1.18,N66),(O66-IF(AND(N66&gt;7500,O66&gt;7500),N66/1.18,N66))/(1+IF(O66&lt;=1000,0,IF(O66&lt;=7500,0.05,0.18)))))/(IF(AND(N66&gt;7500,O66&gt;7500),N66/1.18,N66)))</f>
        <v/>
      </c>
      <c r="R66" s="15" t="str">
        <f aca="false">IF(OR(N66="",O66=""),"",((O66-N66)/1.18)/N66)</f>
        <v/>
      </c>
      <c r="S66" s="15" t="str">
        <f aca="false">IF(OR(P66="",O66=""),"",(P66-O66)/O66)</f>
        <v/>
      </c>
      <c r="T66" s="9" t="str">
        <f aca="false">IF(AND(D66="",G66&lt;&gt;""),"no dates - assumed 1 night",IF(Q66="","",IF(Q66&gt;1.5,"check: markup &gt;150%",IF(Q66&lt;0,"below cost",""))))</f>
        <v/>
      </c>
    </row>
    <row r="67" customFormat="false" ht="15" hidden="false" customHeight="false" outlineLevel="0" collapsed="false">
      <c r="A67" s="9" t="s">
        <v>9</v>
      </c>
      <c r="B67" s="9" t="s">
        <v>70</v>
      </c>
      <c r="C67" s="9" t="s">
        <v>44</v>
      </c>
      <c r="D67" s="10" t="s">
        <v>45</v>
      </c>
      <c r="E67" s="10" t="s">
        <v>46</v>
      </c>
      <c r="F67" s="9" t="n">
        <f aca="false">IF(OR(D67="",E67=""),1,MAX(1,DATEVALUE(E67)-DATEVALUE(D67)))</f>
        <v>3</v>
      </c>
      <c r="G67" s="11"/>
      <c r="H67" s="11" t="n">
        <v>9248</v>
      </c>
      <c r="I67" s="11"/>
      <c r="J67" s="11"/>
      <c r="K67" s="11"/>
      <c r="L67" s="12"/>
      <c r="M67" s="13"/>
      <c r="N67" s="14" t="str">
        <f aca="false">IF(G67="","",G67/F67)</f>
        <v/>
      </c>
      <c r="O67" s="14" t="n">
        <f aca="false">IF(COUNT(H67:K67)=0,"",MIN(H67:K67)/F67)</f>
        <v>3082.66666666667</v>
      </c>
      <c r="P67" s="14" t="str">
        <f aca="false">IF(L67="","",L67*95/F67)</f>
        <v/>
      </c>
      <c r="Q67" s="15" t="str">
        <f aca="false">IF(OR(N67="",O67=""),"",(IF(AND(N67&gt;7500,O67&gt;7500),O67/(1+IF(O67&lt;=1000,0,IF(O67&lt;=7500,0.05,0.18)))-IF(AND(N67&gt;7500,O67&gt;7500),N67/1.18,N67),(O67-IF(AND(N67&gt;7500,O67&gt;7500),N67/1.18,N67))/(1+IF(O67&lt;=1000,0,IF(O67&lt;=7500,0.05,0.18)))))/(IF(AND(N67&gt;7500,O67&gt;7500),N67/1.18,N67)))</f>
        <v/>
      </c>
      <c r="R67" s="15" t="str">
        <f aca="false">IF(OR(N67="",O67=""),"",((O67-N67)/1.18)/N67)</f>
        <v/>
      </c>
      <c r="S67" s="15" t="str">
        <f aca="false">IF(OR(P67="",O67=""),"",(P67-O67)/O67)</f>
        <v/>
      </c>
      <c r="T67" s="9" t="str">
        <f aca="false">IF(AND(D67="",G67&lt;&gt;""),"no dates - assumed 1 night",IF(Q67="","",IF(Q67&gt;1.5,"check: markup &gt;150%",IF(Q67&lt;0,"below cost",""))))</f>
        <v/>
      </c>
    </row>
    <row r="68" customFormat="false" ht="15" hidden="false" customHeight="false" outlineLevel="0" collapsed="false">
      <c r="A68" s="9" t="s">
        <v>9</v>
      </c>
      <c r="B68" s="9" t="s">
        <v>70</v>
      </c>
      <c r="C68" s="9" t="s">
        <v>47</v>
      </c>
      <c r="D68" s="10" t="s">
        <v>48</v>
      </c>
      <c r="E68" s="10" t="s">
        <v>49</v>
      </c>
      <c r="F68" s="9" t="n">
        <f aca="false">IF(OR(D68="",E68=""),1,MAX(1,DATEVALUE(E68)-DATEVALUE(D68)))</f>
        <v>3</v>
      </c>
      <c r="G68" s="11"/>
      <c r="H68" s="11" t="n">
        <v>18660</v>
      </c>
      <c r="I68" s="11"/>
      <c r="J68" s="11"/>
      <c r="K68" s="11"/>
      <c r="L68" s="12"/>
      <c r="M68" s="13"/>
      <c r="N68" s="14" t="str">
        <f aca="false">IF(G68="","",G68/F68)</f>
        <v/>
      </c>
      <c r="O68" s="14" t="n">
        <f aca="false">IF(COUNT(H68:K68)=0,"",MIN(H68:K68)/F68)</f>
        <v>6220</v>
      </c>
      <c r="P68" s="14" t="str">
        <f aca="false">IF(L68="","",L68*95/F68)</f>
        <v/>
      </c>
      <c r="Q68" s="15" t="str">
        <f aca="false">IF(OR(N68="",O68=""),"",(IF(AND(N68&gt;7500,O68&gt;7500),O68/(1+IF(O68&lt;=1000,0,IF(O68&lt;=7500,0.05,0.18)))-IF(AND(N68&gt;7500,O68&gt;7500),N68/1.18,N68),(O68-IF(AND(N68&gt;7500,O68&gt;7500),N68/1.18,N68))/(1+IF(O68&lt;=1000,0,IF(O68&lt;=7500,0.05,0.18)))))/(IF(AND(N68&gt;7500,O68&gt;7500),N68/1.18,N68)))</f>
        <v/>
      </c>
      <c r="R68" s="15" t="str">
        <f aca="false">IF(OR(N68="",O68=""),"",((O68-N68)/1.18)/N68)</f>
        <v/>
      </c>
      <c r="S68" s="15" t="str">
        <f aca="false">IF(OR(P68="",O68=""),"",(P68-O68)/O68)</f>
        <v/>
      </c>
      <c r="T68" s="9" t="str">
        <f aca="false">IF(AND(D68="",G68&lt;&gt;""),"no dates - assumed 1 night",IF(Q68="","",IF(Q68&gt;1.5,"check: markup &gt;150%",IF(Q68&lt;0,"below cost",""))))</f>
        <v/>
      </c>
    </row>
    <row r="69" customFormat="false" ht="15" hidden="false" customHeight="false" outlineLevel="0" collapsed="false">
      <c r="A69" s="9" t="s">
        <v>9</v>
      </c>
      <c r="B69" s="9" t="s">
        <v>70</v>
      </c>
      <c r="C69" s="9" t="s">
        <v>54</v>
      </c>
      <c r="D69" s="10" t="s">
        <v>55</v>
      </c>
      <c r="E69" s="10" t="s">
        <v>56</v>
      </c>
      <c r="F69" s="9" t="n">
        <f aca="false">IF(OR(D69="",E69=""),1,MAX(1,DATEVALUE(E69)-DATEVALUE(D69)))</f>
        <v>3</v>
      </c>
      <c r="G69" s="11"/>
      <c r="H69" s="11" t="n">
        <v>18466</v>
      </c>
      <c r="I69" s="11"/>
      <c r="J69" s="11"/>
      <c r="K69" s="11"/>
      <c r="L69" s="12"/>
      <c r="M69" s="13"/>
      <c r="N69" s="14" t="str">
        <f aca="false">IF(G69="","",G69/F69)</f>
        <v/>
      </c>
      <c r="O69" s="14" t="n">
        <f aca="false">IF(COUNT(H69:K69)=0,"",MIN(H69:K69)/F69)</f>
        <v>6155.33333333333</v>
      </c>
      <c r="P69" s="14" t="str">
        <f aca="false">IF(L69="","",L69*95/F69)</f>
        <v/>
      </c>
      <c r="Q69" s="15" t="str">
        <f aca="false">IF(OR(N69="",O69=""),"",(IF(AND(N69&gt;7500,O69&gt;7500),O69/(1+IF(O69&lt;=1000,0,IF(O69&lt;=7500,0.05,0.18)))-IF(AND(N69&gt;7500,O69&gt;7500),N69/1.18,N69),(O69-IF(AND(N69&gt;7500,O69&gt;7500),N69/1.18,N69))/(1+IF(O69&lt;=1000,0,IF(O69&lt;=7500,0.05,0.18)))))/(IF(AND(N69&gt;7500,O69&gt;7500),N69/1.18,N69)))</f>
        <v/>
      </c>
      <c r="R69" s="15" t="str">
        <f aca="false">IF(OR(N69="",O69=""),"",((O69-N69)/1.18)/N69)</f>
        <v/>
      </c>
      <c r="S69" s="15" t="str">
        <f aca="false">IF(OR(P69="",O69=""),"",(P69-O69)/O69)</f>
        <v/>
      </c>
      <c r="T69" s="9" t="str">
        <f aca="false">IF(AND(D69="",G69&lt;&gt;""),"no dates - assumed 1 night",IF(Q69="","",IF(Q69&gt;1.5,"check: markup &gt;150%",IF(Q69&lt;0,"below cost",""))))</f>
        <v/>
      </c>
    </row>
    <row r="70" customFormat="false" ht="15" hidden="false" customHeight="false" outlineLevel="0" collapsed="false">
      <c r="A70" s="9" t="s">
        <v>9</v>
      </c>
      <c r="B70" s="9" t="s">
        <v>71</v>
      </c>
      <c r="C70" s="9" t="s">
        <v>41</v>
      </c>
      <c r="D70" s="10" t="s">
        <v>42</v>
      </c>
      <c r="E70" s="10" t="s">
        <v>43</v>
      </c>
      <c r="F70" s="9" t="n">
        <f aca="false">IF(OR(D70="",E70=""),1,MAX(1,DATEVALUE(E70)-DATEVALUE(D70)))</f>
        <v>3</v>
      </c>
      <c r="G70" s="11" t="n">
        <v>72062</v>
      </c>
      <c r="H70" s="11" t="n">
        <v>80948</v>
      </c>
      <c r="I70" s="11"/>
      <c r="J70" s="11"/>
      <c r="K70" s="11"/>
      <c r="L70" s="12"/>
      <c r="M70" s="13"/>
      <c r="N70" s="14" t="n">
        <f aca="false">IF(G70="","",G70/F70)</f>
        <v>24020.6666666667</v>
      </c>
      <c r="O70" s="14" t="n">
        <f aca="false">IF(COUNT(H70:K70)=0,"",MIN(H70:K70)/F70)</f>
        <v>26982.6666666667</v>
      </c>
      <c r="P70" s="14" t="str">
        <f aca="false">IF(L70="","",L70*95/F70)</f>
        <v/>
      </c>
      <c r="Q70" s="15" t="n">
        <f aca="false">IF(OR(N70="",O70=""),"",(IF(AND(N70&gt;7500,O70&gt;7500),O70/(1+IF(O70&lt;=1000,0,IF(O70&lt;=7500,0.05,0.18)))-IF(AND(N70&gt;7500,O70&gt;7500),N70/1.18,N70),(O70-IF(AND(N70&gt;7500,O70&gt;7500),N70/1.18,N70))/(1+IF(O70&lt;=1000,0,IF(O70&lt;=7500,0.05,0.18)))))/(IF(AND(N70&gt;7500,O70&gt;7500),N70/1.18,N70)))</f>
        <v>0.123310482639949</v>
      </c>
      <c r="R70" s="15" t="n">
        <f aca="false">IF(OR(N70="",O70=""),"",((O70-N70)/1.18)/N70)</f>
        <v>0.104500409016906</v>
      </c>
      <c r="S70" s="15" t="str">
        <f aca="false">IF(OR(P70="",O70=""),"",(P70-O70)/O70)</f>
        <v/>
      </c>
      <c r="T70" s="9" t="str">
        <f aca="false">IF(AND(D70="",G70&lt;&gt;""),"no dates - assumed 1 night",IF(Q70="","",IF(Q70&gt;1.5,"check: markup &gt;150%",IF(Q70&lt;0,"below cost",""))))</f>
        <v/>
      </c>
    </row>
    <row r="71" customFormat="false" ht="15" hidden="false" customHeight="false" outlineLevel="0" collapsed="false">
      <c r="A71" s="9" t="s">
        <v>9</v>
      </c>
      <c r="B71" s="9" t="s">
        <v>71</v>
      </c>
      <c r="C71" s="9" t="s">
        <v>44</v>
      </c>
      <c r="D71" s="10" t="s">
        <v>45</v>
      </c>
      <c r="E71" s="10" t="s">
        <v>46</v>
      </c>
      <c r="F71" s="9" t="n">
        <f aca="false">IF(OR(D71="",E71=""),1,MAX(1,DATEVALUE(E71)-DATEVALUE(D71)))</f>
        <v>3</v>
      </c>
      <c r="G71" s="11" t="n">
        <v>80150</v>
      </c>
      <c r="H71" s="11" t="n">
        <v>90034</v>
      </c>
      <c r="I71" s="11"/>
      <c r="J71" s="11"/>
      <c r="K71" s="11"/>
      <c r="L71" s="12"/>
      <c r="M71" s="13"/>
      <c r="N71" s="14" t="n">
        <f aca="false">IF(G71="","",G71/F71)</f>
        <v>26716.6666666667</v>
      </c>
      <c r="O71" s="14" t="n">
        <f aca="false">IF(COUNT(H71:K71)=0,"",MIN(H71:K71)/F71)</f>
        <v>30011.3333333333</v>
      </c>
      <c r="P71" s="14" t="str">
        <f aca="false">IF(L71="","",L71*95/F71)</f>
        <v/>
      </c>
      <c r="Q71" s="15" t="n">
        <f aca="false">IF(OR(N71="",O71=""),"",(IF(AND(N71&gt;7500,O71&gt;7500),O71/(1+IF(O71&lt;=1000,0,IF(O71&lt;=7500,0.05,0.18)))-IF(AND(N71&gt;7500,O71&gt;7500),N71/1.18,N71),(O71-IF(AND(N71&gt;7500,O71&gt;7500),N71/1.18,N71))/(1+IF(O71&lt;=1000,0,IF(O71&lt;=7500,0.05,0.18)))))/(IF(AND(N71&gt;7500,O71&gt;7500),N71/1.18,N71)))</f>
        <v>0.123318777292576</v>
      </c>
      <c r="R71" s="15" t="n">
        <f aca="false">IF(OR(N71="",O71=""),"",((O71-N71)/1.18)/N71)</f>
        <v>0.104507438383539</v>
      </c>
      <c r="S71" s="15" t="str">
        <f aca="false">IF(OR(P71="",O71=""),"",(P71-O71)/O71)</f>
        <v/>
      </c>
      <c r="T71" s="9" t="str">
        <f aca="false">IF(AND(D71="",G71&lt;&gt;""),"no dates - assumed 1 night",IF(Q71="","",IF(Q71&gt;1.5,"check: markup &gt;150%",IF(Q71&lt;0,"below cost",""))))</f>
        <v/>
      </c>
    </row>
    <row r="72" customFormat="false" ht="15" hidden="false" customHeight="false" outlineLevel="0" collapsed="false">
      <c r="A72" s="9" t="s">
        <v>9</v>
      </c>
      <c r="B72" s="9" t="s">
        <v>71</v>
      </c>
      <c r="C72" s="9" t="s">
        <v>47</v>
      </c>
      <c r="D72" s="10" t="s">
        <v>48</v>
      </c>
      <c r="E72" s="10" t="s">
        <v>49</v>
      </c>
      <c r="F72" s="9" t="n">
        <f aca="false">IF(OR(D72="",E72=""),1,MAX(1,DATEVALUE(E72)-DATEVALUE(D72)))</f>
        <v>3</v>
      </c>
      <c r="G72" s="11" t="n">
        <v>106831</v>
      </c>
      <c r="H72" s="11" t="n">
        <v>124844</v>
      </c>
      <c r="I72" s="11"/>
      <c r="J72" s="11"/>
      <c r="K72" s="11"/>
      <c r="L72" s="12"/>
      <c r="M72" s="13"/>
      <c r="N72" s="14" t="n">
        <f aca="false">IF(G72="","",G72/F72)</f>
        <v>35610.3333333333</v>
      </c>
      <c r="O72" s="14" t="n">
        <f aca="false">IF(COUNT(H72:K72)=0,"",MIN(H72:K72)/F72)</f>
        <v>41614.6666666667</v>
      </c>
      <c r="P72" s="14" t="str">
        <f aca="false">IF(L72="","",L72*95/F72)</f>
        <v/>
      </c>
      <c r="Q72" s="15" t="n">
        <f aca="false">IF(OR(N72="",O72=""),"",(IF(AND(N72&gt;7500,O72&gt;7500),O72/(1+IF(O72&lt;=1000,0,IF(O72&lt;=7500,0.05,0.18)))-IF(AND(N72&gt;7500,O72&gt;7500),N72/1.18,N72),(O72-IF(AND(N72&gt;7500,O72&gt;7500),N72/1.18,N72))/(1+IF(O72&lt;=1000,0,IF(O72&lt;=7500,0.05,0.18)))))/(IF(AND(N72&gt;7500,O72&gt;7500),N72/1.18,N72)))</f>
        <v>0.168612106972695</v>
      </c>
      <c r="R72" s="15" t="n">
        <f aca="false">IF(OR(N72="",O72=""),"",((O72-N72)/1.18)/N72)</f>
        <v>0.142891616078555</v>
      </c>
      <c r="S72" s="15" t="str">
        <f aca="false">IF(OR(P72="",O72=""),"",(P72-O72)/O72)</f>
        <v/>
      </c>
      <c r="T72" s="9" t="str">
        <f aca="false">IF(AND(D72="",G72&lt;&gt;""),"no dates - assumed 1 night",IF(Q72="","",IF(Q72&gt;1.5,"check: markup &gt;150%",IF(Q72&lt;0,"below cost",""))))</f>
        <v/>
      </c>
    </row>
    <row r="73" customFormat="false" ht="15" hidden="false" customHeight="false" outlineLevel="0" collapsed="false">
      <c r="A73" s="9" t="s">
        <v>9</v>
      </c>
      <c r="B73" s="9" t="s">
        <v>71</v>
      </c>
      <c r="C73" s="9" t="s">
        <v>50</v>
      </c>
      <c r="D73" s="10" t="s">
        <v>51</v>
      </c>
      <c r="E73" s="10" t="s">
        <v>52</v>
      </c>
      <c r="F73" s="9" t="n">
        <f aca="false">IF(OR(D73="",E73=""),1,MAX(1,DATEVALUE(E73)-DATEVALUE(D73)))</f>
        <v>3</v>
      </c>
      <c r="G73" s="11" t="n">
        <v>168073</v>
      </c>
      <c r="H73" s="11" t="n">
        <v>188800</v>
      </c>
      <c r="I73" s="11"/>
      <c r="J73" s="11"/>
      <c r="K73" s="11"/>
      <c r="L73" s="12"/>
      <c r="M73" s="13"/>
      <c r="N73" s="14" t="n">
        <f aca="false">IF(G73="","",G73/F73)</f>
        <v>56024.3333333333</v>
      </c>
      <c r="O73" s="14" t="n">
        <f aca="false">IF(COUNT(H73:K73)=0,"",MIN(H73:K73)/F73)</f>
        <v>62933.3333333333</v>
      </c>
      <c r="P73" s="14" t="str">
        <f aca="false">IF(L73="","",L73*95/F73)</f>
        <v/>
      </c>
      <c r="Q73" s="15" t="n">
        <f aca="false">IF(OR(N73="",O73=""),"",(IF(AND(N73&gt;7500,O73&gt;7500),O73/(1+IF(O73&lt;=1000,0,IF(O73&lt;=7500,0.05,0.18)))-IF(AND(N73&gt;7500,O73&gt;7500),N73/1.18,N73),(O73-IF(AND(N73&gt;7500,O73&gt;7500),N73/1.18,N73))/(1+IF(O73&lt;=1000,0,IF(O73&lt;=7500,0.05,0.18)))))/(IF(AND(N73&gt;7500,O73&gt;7500),N73/1.18,N73)))</f>
        <v>0.123321413909432</v>
      </c>
      <c r="R73" s="15" t="n">
        <f aca="false">IF(OR(N73="",O73=""),"",((O73-N73)/1.18)/N73)</f>
        <v>0.104509672804604</v>
      </c>
      <c r="S73" s="15" t="str">
        <f aca="false">IF(OR(P73="",O73=""),"",(P73-O73)/O73)</f>
        <v/>
      </c>
      <c r="T73" s="9" t="str">
        <f aca="false">IF(AND(D73="",G73&lt;&gt;""),"no dates - assumed 1 night",IF(Q73="","",IF(Q73&gt;1.5,"check: markup &gt;150%",IF(Q73&lt;0,"below cost",""))))</f>
        <v/>
      </c>
    </row>
    <row r="74" customFormat="false" ht="15" hidden="false" customHeight="false" outlineLevel="0" collapsed="false">
      <c r="A74" s="9" t="s">
        <v>9</v>
      </c>
      <c r="B74" s="9" t="s">
        <v>71</v>
      </c>
      <c r="C74" s="9" t="s">
        <v>54</v>
      </c>
      <c r="D74" s="10" t="s">
        <v>55</v>
      </c>
      <c r="E74" s="10" t="s">
        <v>56</v>
      </c>
      <c r="F74" s="9" t="n">
        <f aca="false">IF(OR(D74="",E74=""),1,MAX(1,DATEVALUE(E74)-DATEVALUE(D74)))</f>
        <v>3</v>
      </c>
      <c r="G74" s="11" t="n">
        <v>163202</v>
      </c>
      <c r="H74" s="11" t="n">
        <v>139712</v>
      </c>
      <c r="I74" s="11"/>
      <c r="J74" s="11"/>
      <c r="K74" s="11"/>
      <c r="L74" s="12"/>
      <c r="M74" s="13"/>
      <c r="N74" s="14" t="n">
        <f aca="false">IF(G74="","",G74/F74)</f>
        <v>54400.6666666667</v>
      </c>
      <c r="O74" s="14" t="n">
        <f aca="false">IF(COUNT(H74:K74)=0,"",MIN(H74:K74)/F74)</f>
        <v>46570.6666666667</v>
      </c>
      <c r="P74" s="14" t="str">
        <f aca="false">IF(L74="","",L74*95/F74)</f>
        <v/>
      </c>
      <c r="Q74" s="15" t="n">
        <f aca="false">IF(OR(N74="",O74=""),"",(IF(AND(N74&gt;7500,O74&gt;7500),O74/(1+IF(O74&lt;=1000,0,IF(O74&lt;=7500,0.05,0.18)))-IF(AND(N74&gt;7500,O74&gt;7500),N74/1.18,N74),(O74-IF(AND(N74&gt;7500,O74&gt;7500),N74/1.18,N74))/(1+IF(O74&lt;=1000,0,IF(O74&lt;=7500,0.05,0.18)))))/(IF(AND(N74&gt;7500,O74&gt;7500),N74/1.18,N74)))</f>
        <v>-0.143932059656132</v>
      </c>
      <c r="R74" s="15" t="n">
        <f aca="false">IF(OR(N74="",O74=""),"",((O74-N74)/1.18)/N74)</f>
        <v>-0.121976321742484</v>
      </c>
      <c r="S74" s="15" t="str">
        <f aca="false">IF(OR(P74="",O74=""),"",(P74-O74)/O74)</f>
        <v/>
      </c>
      <c r="T74" s="9" t="str">
        <f aca="false">IF(AND(D74="",G74&lt;&gt;""),"no dates - assumed 1 night",IF(Q74="","",IF(Q74&gt;1.5,"check: markup &gt;150%",IF(Q74&lt;0,"below cost",""))))</f>
        <v>below cost</v>
      </c>
    </row>
    <row r="75" customFormat="false" ht="15" hidden="false" customHeight="false" outlineLevel="0" collapsed="false">
      <c r="A75" s="9" t="s">
        <v>9</v>
      </c>
      <c r="B75" s="9" t="s">
        <v>72</v>
      </c>
      <c r="C75" s="9" t="s">
        <v>44</v>
      </c>
      <c r="D75" s="10" t="s">
        <v>45</v>
      </c>
      <c r="E75" s="10" t="s">
        <v>46</v>
      </c>
      <c r="F75" s="9" t="n">
        <f aca="false">IF(OR(D75="",E75=""),1,MAX(1,DATEVALUE(E75)-DATEVALUE(D75)))</f>
        <v>3</v>
      </c>
      <c r="G75" s="11"/>
      <c r="H75" s="11" t="n">
        <v>12600</v>
      </c>
      <c r="I75" s="11"/>
      <c r="J75" s="11"/>
      <c r="K75" s="11"/>
      <c r="L75" s="12" t="n">
        <v>132.06</v>
      </c>
      <c r="M75" s="13" t="n">
        <v>0.12</v>
      </c>
      <c r="N75" s="14" t="str">
        <f aca="false">IF(G75="","",G75/F75)</f>
        <v/>
      </c>
      <c r="O75" s="14" t="n">
        <f aca="false">IF(COUNT(H75:K75)=0,"",MIN(H75:K75)/F75)</f>
        <v>4200</v>
      </c>
      <c r="P75" s="14" t="n">
        <f aca="false">IF(L75="","",L75*95/F75)</f>
        <v>4181.9</v>
      </c>
      <c r="Q75" s="15" t="str">
        <f aca="false">IF(OR(N75="",O75=""),"",(IF(AND(N75&gt;7500,O75&gt;7500),O75/(1+IF(O75&lt;=1000,0,IF(O75&lt;=7500,0.05,0.18)))-IF(AND(N75&gt;7500,O75&gt;7500),N75/1.18,N75),(O75-IF(AND(N75&gt;7500,O75&gt;7500),N75/1.18,N75))/(1+IF(O75&lt;=1000,0,IF(O75&lt;=7500,0.05,0.18)))))/(IF(AND(N75&gt;7500,O75&gt;7500),N75/1.18,N75)))</f>
        <v/>
      </c>
      <c r="R75" s="15" t="str">
        <f aca="false">IF(OR(N75="",O75=""),"",((O75-N75)/1.18)/N75)</f>
        <v/>
      </c>
      <c r="S75" s="15" t="n">
        <f aca="false">IF(OR(P75="",O75=""),"",(P75-O75)/O75)</f>
        <v>-0.00430952380952368</v>
      </c>
      <c r="T75" s="9" t="str">
        <f aca="false">IF(AND(D75="",G75&lt;&gt;""),"no dates - assumed 1 night",IF(Q75="","",IF(Q75&gt;1.5,"check: markup &gt;150%",IF(Q75&lt;0,"below cost",""))))</f>
        <v/>
      </c>
    </row>
    <row r="76" customFormat="false" ht="15" hidden="false" customHeight="false" outlineLevel="0" collapsed="false">
      <c r="A76" s="9" t="s">
        <v>9</v>
      </c>
      <c r="B76" s="9" t="s">
        <v>72</v>
      </c>
      <c r="C76" s="9" t="s">
        <v>47</v>
      </c>
      <c r="D76" s="10" t="s">
        <v>48</v>
      </c>
      <c r="E76" s="10" t="s">
        <v>49</v>
      </c>
      <c r="F76" s="9" t="n">
        <f aca="false">IF(OR(D76="",E76=""),1,MAX(1,DATEVALUE(E76)-DATEVALUE(D76)))</f>
        <v>3</v>
      </c>
      <c r="G76" s="11"/>
      <c r="H76" s="11" t="n">
        <v>18443</v>
      </c>
      <c r="I76" s="11"/>
      <c r="J76" s="11"/>
      <c r="K76" s="11"/>
      <c r="L76" s="12" t="n">
        <v>183.42</v>
      </c>
      <c r="M76" s="13" t="n">
        <v>0.12</v>
      </c>
      <c r="N76" s="14" t="str">
        <f aca="false">IF(G76="","",G76/F76)</f>
        <v/>
      </c>
      <c r="O76" s="14" t="n">
        <f aca="false">IF(COUNT(H76:K76)=0,"",MIN(H76:K76)/F76)</f>
        <v>6147.66666666667</v>
      </c>
      <c r="P76" s="14" t="n">
        <f aca="false">IF(L76="","",L76*95/F76)</f>
        <v>5808.3</v>
      </c>
      <c r="Q76" s="15" t="str">
        <f aca="false">IF(OR(N76="",O76=""),"",(IF(AND(N76&gt;7500,O76&gt;7500),O76/(1+IF(O76&lt;=1000,0,IF(O76&lt;=7500,0.05,0.18)))-IF(AND(N76&gt;7500,O76&gt;7500),N76/1.18,N76),(O76-IF(AND(N76&gt;7500,O76&gt;7500),N76/1.18,N76))/(1+IF(O76&lt;=1000,0,IF(O76&lt;=7500,0.05,0.18)))))/(IF(AND(N76&gt;7500,O76&gt;7500),N76/1.18,N76)))</f>
        <v/>
      </c>
      <c r="R76" s="15" t="str">
        <f aca="false">IF(OR(N76="",O76=""),"",((O76-N76)/1.18)/N76)</f>
        <v/>
      </c>
      <c r="S76" s="15" t="n">
        <f aca="false">IF(OR(P76="",O76=""),"",(P76-O76)/O76)</f>
        <v>-0.0552025158596759</v>
      </c>
      <c r="T76" s="9" t="str">
        <f aca="false">IF(AND(D76="",G76&lt;&gt;""),"no dates - assumed 1 night",IF(Q76="","",IF(Q76&gt;1.5,"check: markup &gt;150%",IF(Q76&lt;0,"below cost",""))))</f>
        <v/>
      </c>
    </row>
    <row r="77" customFormat="false" ht="15" hidden="false" customHeight="false" outlineLevel="0" collapsed="false">
      <c r="A77" s="9" t="s">
        <v>9</v>
      </c>
      <c r="B77" s="9" t="s">
        <v>72</v>
      </c>
      <c r="C77" s="9" t="s">
        <v>50</v>
      </c>
      <c r="D77" s="10" t="s">
        <v>51</v>
      </c>
      <c r="E77" s="10" t="s">
        <v>52</v>
      </c>
      <c r="F77" s="9" t="n">
        <f aca="false">IF(OR(D77="",E77=""),1,MAX(1,DATEVALUE(E77)-DATEVALUE(D77)))</f>
        <v>3</v>
      </c>
      <c r="G77" s="11"/>
      <c r="H77" s="11" t="n">
        <v>41418</v>
      </c>
      <c r="I77" s="11"/>
      <c r="J77" s="11"/>
      <c r="K77" s="11"/>
      <c r="L77" s="12" t="n">
        <v>434.16</v>
      </c>
      <c r="M77" s="13" t="n">
        <v>0.12</v>
      </c>
      <c r="N77" s="14" t="str">
        <f aca="false">IF(G77="","",G77/F77)</f>
        <v/>
      </c>
      <c r="O77" s="14" t="n">
        <f aca="false">IF(COUNT(H77:K77)=0,"",MIN(H77:K77)/F77)</f>
        <v>13806</v>
      </c>
      <c r="P77" s="14" t="n">
        <f aca="false">IF(L77="","",L77*95/F77)</f>
        <v>13748.4</v>
      </c>
      <c r="Q77" s="15" t="str">
        <f aca="false">IF(OR(N77="",O77=""),"",(IF(AND(N77&gt;7500,O77&gt;7500),O77/(1+IF(O77&lt;=1000,0,IF(O77&lt;=7500,0.05,0.18)))-IF(AND(N77&gt;7500,O77&gt;7500),N77/1.18,N77),(O77-IF(AND(N77&gt;7500,O77&gt;7500),N77/1.18,N77))/(1+IF(O77&lt;=1000,0,IF(O77&lt;=7500,0.05,0.18)))))/(IF(AND(N77&gt;7500,O77&gt;7500),N77/1.18,N77)))</f>
        <v/>
      </c>
      <c r="R77" s="15" t="str">
        <f aca="false">IF(OR(N77="",O77=""),"",((O77-N77)/1.18)/N77)</f>
        <v/>
      </c>
      <c r="S77" s="15" t="n">
        <f aca="false">IF(OR(P77="",O77=""),"",(P77-O77)/O77)</f>
        <v>-0.00417209908735322</v>
      </c>
      <c r="T77" s="9" t="str">
        <f aca="false">IF(AND(D77="",G77&lt;&gt;""),"no dates - assumed 1 night",IF(Q77="","",IF(Q77&gt;1.5,"check: markup &gt;150%",IF(Q77&lt;0,"below cost",""))))</f>
        <v/>
      </c>
    </row>
    <row r="78" customFormat="false" ht="15" hidden="false" customHeight="false" outlineLevel="0" collapsed="false">
      <c r="A78" s="9" t="s">
        <v>9</v>
      </c>
      <c r="B78" s="9" t="s">
        <v>72</v>
      </c>
      <c r="C78" s="9" t="s">
        <v>54</v>
      </c>
      <c r="D78" s="10" t="s">
        <v>55</v>
      </c>
      <c r="E78" s="10" t="s">
        <v>56</v>
      </c>
      <c r="F78" s="9" t="n">
        <f aca="false">IF(OR(D78="",E78=""),1,MAX(1,DATEVALUE(E78)-DATEVALUE(D78)))</f>
        <v>3</v>
      </c>
      <c r="G78" s="11"/>
      <c r="H78" s="11" t="n">
        <v>19845</v>
      </c>
      <c r="I78" s="11"/>
      <c r="J78" s="11"/>
      <c r="K78" s="11"/>
      <c r="L78" s="12" t="n">
        <v>198.15</v>
      </c>
      <c r="M78" s="13" t="n">
        <v>0.12</v>
      </c>
      <c r="N78" s="14" t="str">
        <f aca="false">IF(G78="","",G78/F78)</f>
        <v/>
      </c>
      <c r="O78" s="14" t="n">
        <f aca="false">IF(COUNT(H78:K78)=0,"",MIN(H78:K78)/F78)</f>
        <v>6615</v>
      </c>
      <c r="P78" s="14" t="n">
        <f aca="false">IF(L78="","",L78*95/F78)</f>
        <v>6274.75</v>
      </c>
      <c r="Q78" s="15" t="str">
        <f aca="false">IF(OR(N78="",O78=""),"",(IF(AND(N78&gt;7500,O78&gt;7500),O78/(1+IF(O78&lt;=1000,0,IF(O78&lt;=7500,0.05,0.18)))-IF(AND(N78&gt;7500,O78&gt;7500),N78/1.18,N78),(O78-IF(AND(N78&gt;7500,O78&gt;7500),N78/1.18,N78))/(1+IF(O78&lt;=1000,0,IF(O78&lt;=7500,0.05,0.18)))))/(IF(AND(N78&gt;7500,O78&gt;7500),N78/1.18,N78)))</f>
        <v/>
      </c>
      <c r="R78" s="15" t="str">
        <f aca="false">IF(OR(N78="",O78=""),"",((O78-N78)/1.18)/N78)</f>
        <v/>
      </c>
      <c r="S78" s="15" t="n">
        <f aca="false">IF(OR(P78="",O78=""),"",(P78-O78)/O78)</f>
        <v>-0.0514361300075586</v>
      </c>
      <c r="T78" s="9" t="str">
        <f aca="false">IF(AND(D78="",G78&lt;&gt;""),"no dates - assumed 1 night",IF(Q78="","",IF(Q78&gt;1.5,"check: markup &gt;150%",IF(Q78&lt;0,"below cost",""))))</f>
        <v/>
      </c>
    </row>
    <row r="79" customFormat="false" ht="15" hidden="false" customHeight="false" outlineLevel="0" collapsed="false">
      <c r="A79" s="9" t="s">
        <v>9</v>
      </c>
      <c r="B79" s="9" t="s">
        <v>73</v>
      </c>
      <c r="C79" s="9" t="s">
        <v>44</v>
      </c>
      <c r="D79" s="10" t="s">
        <v>45</v>
      </c>
      <c r="E79" s="10" t="s">
        <v>46</v>
      </c>
      <c r="F79" s="9" t="n">
        <f aca="false">IF(OR(D79="",E79=""),1,MAX(1,DATEVALUE(E79)-DATEVALUE(D79)))</f>
        <v>3</v>
      </c>
      <c r="G79" s="11" t="n">
        <v>35264</v>
      </c>
      <c r="H79" s="11" t="n">
        <v>202706</v>
      </c>
      <c r="I79" s="11"/>
      <c r="J79" s="11"/>
      <c r="K79" s="11"/>
      <c r="L79" s="12"/>
      <c r="M79" s="13"/>
      <c r="N79" s="14" t="n">
        <f aca="false">IF(G79="","",G79/F79)</f>
        <v>11754.6666666667</v>
      </c>
      <c r="O79" s="14" t="n">
        <f aca="false">IF(COUNT(H79:K79)=0,"",MIN(H79:K79)/F79)</f>
        <v>67568.6666666667</v>
      </c>
      <c r="P79" s="14" t="str">
        <f aca="false">IF(L79="","",L79*95/F79)</f>
        <v/>
      </c>
      <c r="Q79" s="15" t="n">
        <f aca="false">IF(OR(N79="",O79=""),"",(IF(AND(N79&gt;7500,O79&gt;7500),O79/(1+IF(O79&lt;=1000,0,IF(O79&lt;=7500,0.05,0.18)))-IF(AND(N79&gt;7500,O79&gt;7500),N79/1.18,N79),(O79-IF(AND(N79&gt;7500,O79&gt;7500),N79/1.18,N79))/(1+IF(O79&lt;=1000,0,IF(O79&lt;=7500,0.05,0.18)))))/(IF(AND(N79&gt;7500,O79&gt;7500),N79/1.18,N79)))</f>
        <v>4.74824183303085</v>
      </c>
      <c r="R79" s="15" t="n">
        <f aca="false">IF(OR(N79="",O79=""),"",((O79-N79)/1.18)/N79)</f>
        <v>4.02393375680581</v>
      </c>
      <c r="S79" s="15" t="str">
        <f aca="false">IF(OR(P79="",O79=""),"",(P79-O79)/O79)</f>
        <v/>
      </c>
      <c r="T79" s="9" t="str">
        <f aca="false">IF(AND(D79="",G79&lt;&gt;""),"no dates - assumed 1 night",IF(Q79="","",IF(Q79&gt;1.5,"check: markup &gt;150%",IF(Q79&lt;0,"below cost",""))))</f>
        <v>check: markup &gt;150%</v>
      </c>
    </row>
    <row r="80" customFormat="false" ht="15" hidden="false" customHeight="false" outlineLevel="0" collapsed="false">
      <c r="A80" s="9" t="s">
        <v>9</v>
      </c>
      <c r="B80" s="9" t="s">
        <v>73</v>
      </c>
      <c r="C80" s="9" t="s">
        <v>50</v>
      </c>
      <c r="D80" s="10" t="s">
        <v>51</v>
      </c>
      <c r="E80" s="10" t="s">
        <v>52</v>
      </c>
      <c r="F80" s="9" t="n">
        <f aca="false">IF(OR(D80="",E80=""),1,MAX(1,DATEVALUE(E80)-DATEVALUE(D80)))</f>
        <v>3</v>
      </c>
      <c r="G80" s="11" t="n">
        <v>73568</v>
      </c>
      <c r="H80" s="11" t="n">
        <v>162260</v>
      </c>
      <c r="I80" s="11"/>
      <c r="J80" s="11"/>
      <c r="K80" s="11"/>
      <c r="L80" s="12"/>
      <c r="M80" s="13"/>
      <c r="N80" s="14" t="n">
        <f aca="false">IF(G80="","",G80/F80)</f>
        <v>24522.6666666667</v>
      </c>
      <c r="O80" s="14" t="n">
        <f aca="false">IF(COUNT(H80:K80)=0,"",MIN(H80:K80)/F80)</f>
        <v>54086.6666666667</v>
      </c>
      <c r="P80" s="14" t="str">
        <f aca="false">IF(L80="","",L80*95/F80)</f>
        <v/>
      </c>
      <c r="Q80" s="15" t="n">
        <f aca="false">IF(OR(N80="",O80=""),"",(IF(AND(N80&gt;7500,O80&gt;7500),O80/(1+IF(O80&lt;=1000,0,IF(O80&lt;=7500,0.05,0.18)))-IF(AND(N80&gt;7500,O80&gt;7500),N80/1.18,N80),(O80-IF(AND(N80&gt;7500,O80&gt;7500),N80/1.18,N80))/(1+IF(O80&lt;=1000,0,IF(O80&lt;=7500,0.05,0.18)))))/(IF(AND(N80&gt;7500,O80&gt;7500),N80/1.18,N80)))</f>
        <v>1.20557851239669</v>
      </c>
      <c r="R80" s="15" t="n">
        <f aca="false">IF(OR(N80="",O80=""),"",((O80-N80)/1.18)/N80)</f>
        <v>1.02167670542093</v>
      </c>
      <c r="S80" s="15" t="str">
        <f aca="false">IF(OR(P80="",O80=""),"",(P80-O80)/O80)</f>
        <v/>
      </c>
      <c r="T80" s="9" t="str">
        <f aca="false">IF(AND(D80="",G80&lt;&gt;""),"no dates - assumed 1 night",IF(Q80="","",IF(Q80&gt;1.5,"check: markup &gt;150%",IF(Q80&lt;0,"below cost",""))))</f>
        <v/>
      </c>
    </row>
    <row r="81" customFormat="false" ht="15" hidden="false" customHeight="false" outlineLevel="0" collapsed="false">
      <c r="A81" s="9" t="s">
        <v>9</v>
      </c>
      <c r="B81" s="9" t="s">
        <v>73</v>
      </c>
      <c r="C81" s="9" t="s">
        <v>54</v>
      </c>
      <c r="D81" s="10" t="s">
        <v>55</v>
      </c>
      <c r="E81" s="10" t="s">
        <v>56</v>
      </c>
      <c r="F81" s="9" t="n">
        <f aca="false">IF(OR(D81="",E81=""),1,MAX(1,DATEVALUE(E81)-DATEVALUE(D81)))</f>
        <v>3</v>
      </c>
      <c r="G81" s="11" t="n">
        <v>67261</v>
      </c>
      <c r="H81" s="11" t="n">
        <v>100784</v>
      </c>
      <c r="I81" s="11"/>
      <c r="J81" s="11"/>
      <c r="K81" s="11"/>
      <c r="L81" s="12"/>
      <c r="M81" s="13"/>
      <c r="N81" s="14" t="n">
        <f aca="false">IF(G81="","",G81/F81)</f>
        <v>22420.3333333333</v>
      </c>
      <c r="O81" s="14" t="n">
        <f aca="false">IF(COUNT(H81:K81)=0,"",MIN(H81:K81)/F81)</f>
        <v>33594.6666666667</v>
      </c>
      <c r="P81" s="14" t="str">
        <f aca="false">IF(L81="","",L81*95/F81)</f>
        <v/>
      </c>
      <c r="Q81" s="15" t="n">
        <f aca="false">IF(OR(N81="",O81=""),"",(IF(AND(N81&gt;7500,O81&gt;7500),O81/(1+IF(O81&lt;=1000,0,IF(O81&lt;=7500,0.05,0.18)))-IF(AND(N81&gt;7500,O81&gt;7500),N81/1.18,N81),(O81-IF(AND(N81&gt;7500,O81&gt;7500),N81/1.18,N81))/(1+IF(O81&lt;=1000,0,IF(O81&lt;=7500,0.05,0.18)))))/(IF(AND(N81&gt;7500,O81&gt;7500),N81/1.18,N81)))</f>
        <v>0.498401748412899</v>
      </c>
      <c r="R81" s="15" t="n">
        <f aca="false">IF(OR(N81="",O81=""),"",((O81-N81)/1.18)/N81)</f>
        <v>0.422374363061779</v>
      </c>
      <c r="S81" s="15" t="str">
        <f aca="false">IF(OR(P81="",O81=""),"",(P81-O81)/O81)</f>
        <v/>
      </c>
      <c r="T81" s="9" t="str">
        <f aca="false">IF(AND(D81="",G81&lt;&gt;""),"no dates - assumed 1 night",IF(Q81="","",IF(Q81&gt;1.5,"check: markup &gt;150%",IF(Q81&lt;0,"below cost",""))))</f>
        <v/>
      </c>
    </row>
    <row r="82" customFormat="false" ht="15" hidden="false" customHeight="false" outlineLevel="0" collapsed="false">
      <c r="A82" s="9" t="s">
        <v>9</v>
      </c>
      <c r="B82" s="9" t="s">
        <v>74</v>
      </c>
      <c r="C82" s="9" t="s">
        <v>41</v>
      </c>
      <c r="D82" s="10" t="s">
        <v>42</v>
      </c>
      <c r="E82" s="10" t="s">
        <v>43</v>
      </c>
      <c r="F82" s="9" t="n">
        <f aca="false">IF(OR(D82="",E82=""),1,MAX(1,DATEVALUE(E82)-DATEVALUE(D82)))</f>
        <v>3</v>
      </c>
      <c r="G82" s="11" t="n">
        <v>42201</v>
      </c>
      <c r="H82" s="11" t="n">
        <v>55932</v>
      </c>
      <c r="I82" s="11"/>
      <c r="J82" s="11"/>
      <c r="K82" s="11"/>
      <c r="L82" s="12" t="n">
        <v>530.67</v>
      </c>
      <c r="M82" s="13" t="n">
        <v>0.13</v>
      </c>
      <c r="N82" s="14" t="n">
        <f aca="false">IF(G82="","",G82/F82)</f>
        <v>14067</v>
      </c>
      <c r="O82" s="14" t="n">
        <f aca="false">IF(COUNT(H82:K82)=0,"",MIN(H82:K82)/F82)</f>
        <v>18644</v>
      </c>
      <c r="P82" s="14" t="n">
        <f aca="false">IF(L82="","",L82*95/F82)</f>
        <v>16804.55</v>
      </c>
      <c r="Q82" s="15" t="n">
        <f aca="false">IF(OR(N82="",O82=""),"",(IF(AND(N82&gt;7500,O82&gt;7500),O82/(1+IF(O82&lt;=1000,0,IF(O82&lt;=7500,0.05,0.18)))-IF(AND(N82&gt;7500,O82&gt;7500),N82/1.18,N82),(O82-IF(AND(N82&gt;7500,O82&gt;7500),N82/1.18,N82))/(1+IF(O82&lt;=1000,0,IF(O82&lt;=7500,0.05,0.18)))))/(IF(AND(N82&gt;7500,O82&gt;7500),N82/1.18,N82)))</f>
        <v>0.325371436695813</v>
      </c>
      <c r="R82" s="15" t="n">
        <f aca="false">IF(OR(N82="",O82=""),"",((O82-N82)/1.18)/N82)</f>
        <v>0.275738505674418</v>
      </c>
      <c r="S82" s="15" t="n">
        <f aca="false">IF(OR(P82="",O82=""),"",(P82-O82)/O82)</f>
        <v>-0.0986617678609741</v>
      </c>
      <c r="T82" s="9" t="str">
        <f aca="false">IF(AND(D82="",G82&lt;&gt;""),"no dates - assumed 1 night",IF(Q82="","",IF(Q82&gt;1.5,"check: markup &gt;150%",IF(Q82&lt;0,"below cost",""))))</f>
        <v/>
      </c>
    </row>
    <row r="83" customFormat="false" ht="15" hidden="false" customHeight="false" outlineLevel="0" collapsed="false">
      <c r="A83" s="9" t="s">
        <v>9</v>
      </c>
      <c r="B83" s="9" t="s">
        <v>74</v>
      </c>
      <c r="C83" s="9" t="s">
        <v>44</v>
      </c>
      <c r="D83" s="10" t="s">
        <v>45</v>
      </c>
      <c r="E83" s="10" t="s">
        <v>46</v>
      </c>
      <c r="F83" s="9" t="n">
        <f aca="false">IF(OR(D83="",E83=""),1,MAX(1,DATEVALUE(E83)-DATEVALUE(D83)))</f>
        <v>3</v>
      </c>
      <c r="G83" s="11" t="n">
        <v>38286</v>
      </c>
      <c r="H83" s="11" t="n">
        <v>47082</v>
      </c>
      <c r="I83" s="11"/>
      <c r="J83" s="11"/>
      <c r="K83" s="11"/>
      <c r="L83" s="12" t="n">
        <v>437.9</v>
      </c>
      <c r="M83" s="13" t="n">
        <v>0.12</v>
      </c>
      <c r="N83" s="14" t="n">
        <f aca="false">IF(G83="","",G83/F83)</f>
        <v>12762</v>
      </c>
      <c r="O83" s="14" t="n">
        <f aca="false">IF(COUNT(H83:K83)=0,"",MIN(H83:K83)/F83)</f>
        <v>15694</v>
      </c>
      <c r="P83" s="14" t="n">
        <f aca="false">IF(L83="","",L83*95/F83)</f>
        <v>13866.8333333333</v>
      </c>
      <c r="Q83" s="15" t="n">
        <f aca="false">IF(OR(N83="",O83=""),"",(IF(AND(N83&gt;7500,O83&gt;7500),O83/(1+IF(O83&lt;=1000,0,IF(O83&lt;=7500,0.05,0.18)))-IF(AND(N83&gt;7500,O83&gt;7500),N83/1.18,N83),(O83-IF(AND(N83&gt;7500,O83&gt;7500),N83/1.18,N83))/(1+IF(O83&lt;=1000,0,IF(O83&lt;=7500,0.05,0.18)))))/(IF(AND(N83&gt;7500,O83&gt;7500),N83/1.18,N83)))</f>
        <v>0.229744554145118</v>
      </c>
      <c r="R83" s="15" t="n">
        <f aca="false">IF(OR(N83="",O83=""),"",((O83-N83)/1.18)/N83)</f>
        <v>0.194698774699253</v>
      </c>
      <c r="S83" s="15" t="n">
        <f aca="false">IF(OR(P83="",O83=""),"",(P83-O83)/O83)</f>
        <v>-0.116424535916061</v>
      </c>
      <c r="T83" s="9" t="str">
        <f aca="false">IF(AND(D83="",G83&lt;&gt;""),"no dates - assumed 1 night",IF(Q83="","",IF(Q83&gt;1.5,"check: markup &gt;150%",IF(Q83&lt;0,"below cost",""))))</f>
        <v/>
      </c>
    </row>
    <row r="84" customFormat="false" ht="15" hidden="false" customHeight="false" outlineLevel="0" collapsed="false">
      <c r="A84" s="9" t="s">
        <v>9</v>
      </c>
      <c r="B84" s="9" t="s">
        <v>74</v>
      </c>
      <c r="C84" s="9" t="s">
        <v>47</v>
      </c>
      <c r="D84" s="10" t="s">
        <v>48</v>
      </c>
      <c r="E84" s="10" t="s">
        <v>49</v>
      </c>
      <c r="F84" s="9" t="n">
        <f aca="false">IF(OR(D84="",E84=""),1,MAX(1,DATEVALUE(E84)-DATEVALUE(D84)))</f>
        <v>3</v>
      </c>
      <c r="G84" s="11" t="n">
        <v>75003</v>
      </c>
      <c r="H84" s="11" t="n">
        <v>89562</v>
      </c>
      <c r="I84" s="11"/>
      <c r="J84" s="11"/>
      <c r="K84" s="11"/>
      <c r="L84" s="12" t="n">
        <v>883.22</v>
      </c>
      <c r="M84" s="13" t="n">
        <v>0.12</v>
      </c>
      <c r="N84" s="14" t="n">
        <f aca="false">IF(G84="","",G84/F84)</f>
        <v>25001</v>
      </c>
      <c r="O84" s="14" t="n">
        <f aca="false">IF(COUNT(H84:K84)=0,"",MIN(H84:K84)/F84)</f>
        <v>29854</v>
      </c>
      <c r="P84" s="14" t="n">
        <f aca="false">IF(L84="","",L84*95/F84)</f>
        <v>27968.6333333333</v>
      </c>
      <c r="Q84" s="15" t="n">
        <f aca="false">IF(OR(N84="",O84=""),"",(IF(AND(N84&gt;7500,O84&gt;7500),O84/(1+IF(O84&lt;=1000,0,IF(O84&lt;=7500,0.05,0.18)))-IF(AND(N84&gt;7500,O84&gt;7500),N84/1.18,N84),(O84-IF(AND(N84&gt;7500,O84&gt;7500),N84/1.18,N84))/(1+IF(O84&lt;=1000,0,IF(O84&lt;=7500,0.05,0.18)))))/(IF(AND(N84&gt;7500,O84&gt;7500),N84/1.18,N84)))</f>
        <v>0.194112235510579</v>
      </c>
      <c r="R84" s="15" t="n">
        <f aca="false">IF(OR(N84="",O84=""),"",((O84-N84)/1.18)/N84)</f>
        <v>0.164501894500491</v>
      </c>
      <c r="S84" s="15" t="n">
        <f aca="false">IF(OR(P84="",O84=""),"",(P84-O84)/O84)</f>
        <v>-0.0631528996672695</v>
      </c>
      <c r="T84" s="9" t="str">
        <f aca="false">IF(AND(D84="",G84&lt;&gt;""),"no dates - assumed 1 night",IF(Q84="","",IF(Q84&gt;1.5,"check: markup &gt;150%",IF(Q84&lt;0,"below cost",""))))</f>
        <v/>
      </c>
    </row>
    <row r="85" customFormat="false" ht="15" hidden="false" customHeight="false" outlineLevel="0" collapsed="false">
      <c r="A85" s="9" t="s">
        <v>9</v>
      </c>
      <c r="B85" s="9" t="s">
        <v>74</v>
      </c>
      <c r="C85" s="9" t="s">
        <v>50</v>
      </c>
      <c r="D85" s="10" t="s">
        <v>51</v>
      </c>
      <c r="E85" s="10" t="s">
        <v>52</v>
      </c>
      <c r="F85" s="9" t="n">
        <f aca="false">IF(OR(D85="",E85=""),1,MAX(1,DATEVALUE(E85)-DATEVALUE(D85)))</f>
        <v>3</v>
      </c>
      <c r="G85" s="11" t="n">
        <v>63163</v>
      </c>
      <c r="H85" s="11" t="n">
        <v>75402</v>
      </c>
      <c r="I85" s="11"/>
      <c r="J85" s="11"/>
      <c r="K85" s="11"/>
      <c r="L85" s="12" t="n">
        <v>833.72</v>
      </c>
      <c r="M85" s="13" t="n">
        <v>0.12</v>
      </c>
      <c r="N85" s="14" t="n">
        <f aca="false">IF(G85="","",G85/F85)</f>
        <v>21054.3333333333</v>
      </c>
      <c r="O85" s="14" t="n">
        <f aca="false">IF(COUNT(H85:K85)=0,"",MIN(H85:K85)/F85)</f>
        <v>25134</v>
      </c>
      <c r="P85" s="14" t="n">
        <f aca="false">IF(L85="","",L85*95/F85)</f>
        <v>26401.1333333333</v>
      </c>
      <c r="Q85" s="15" t="n">
        <f aca="false">IF(OR(N85="",O85=""),"",(IF(AND(N85&gt;7500,O85&gt;7500),O85/(1+IF(O85&lt;=1000,0,IF(O85&lt;=7500,0.05,0.18)))-IF(AND(N85&gt;7500,O85&gt;7500),N85/1.18,N85),(O85-IF(AND(N85&gt;7500,O85&gt;7500),N85/1.18,N85))/(1+IF(O85&lt;=1000,0,IF(O85&lt;=7500,0.05,0.18)))))/(IF(AND(N85&gt;7500,O85&gt;7500),N85/1.18,N85)))</f>
        <v>0.193768503712617</v>
      </c>
      <c r="R85" s="15" t="n">
        <f aca="false">IF(OR(N85="",O85=""),"",((O85-N85)/1.18)/N85)</f>
        <v>0.164210596366624</v>
      </c>
      <c r="S85" s="15" t="n">
        <f aca="false">IF(OR(P85="",O85=""),"",(P85-O85)/O85)</f>
        <v>0.0504151083525637</v>
      </c>
      <c r="T85" s="9" t="str">
        <f aca="false">IF(AND(D85="",G85&lt;&gt;""),"no dates - assumed 1 night",IF(Q85="","",IF(Q85&gt;1.5,"check: markup &gt;150%",IF(Q85&lt;0,"below cost",""))))</f>
        <v/>
      </c>
    </row>
    <row r="86" customFormat="false" ht="15" hidden="false" customHeight="false" outlineLevel="0" collapsed="false">
      <c r="A86" s="9" t="s">
        <v>9</v>
      </c>
      <c r="B86" s="9" t="s">
        <v>74</v>
      </c>
      <c r="C86" s="9" t="s">
        <v>54</v>
      </c>
      <c r="D86" s="10" t="s">
        <v>55</v>
      </c>
      <c r="E86" s="10" t="s">
        <v>56</v>
      </c>
      <c r="F86" s="9" t="n">
        <f aca="false">IF(OR(D86="",E86=""),1,MAX(1,DATEVALUE(E86)-DATEVALUE(D86)))</f>
        <v>3</v>
      </c>
      <c r="G86" s="11" t="n">
        <v>49845</v>
      </c>
      <c r="H86" s="11" t="n">
        <v>61301</v>
      </c>
      <c r="I86" s="11"/>
      <c r="J86" s="11"/>
      <c r="K86" s="11"/>
      <c r="L86" s="12" t="n">
        <v>690.86</v>
      </c>
      <c r="M86" s="13" t="n">
        <v>0.12</v>
      </c>
      <c r="N86" s="14" t="n">
        <f aca="false">IF(G86="","",G86/F86)</f>
        <v>16615</v>
      </c>
      <c r="O86" s="14" t="n">
        <f aca="false">IF(COUNT(H86:K86)=0,"",MIN(H86:K86)/F86)</f>
        <v>20433.6666666667</v>
      </c>
      <c r="P86" s="14" t="n">
        <f aca="false">IF(L86="","",L86*95/F86)</f>
        <v>21877.2333333333</v>
      </c>
      <c r="Q86" s="15" t="n">
        <f aca="false">IF(OR(N86="",O86=""),"",(IF(AND(N86&gt;7500,O86&gt;7500),O86/(1+IF(O86&lt;=1000,0,IF(O86&lt;=7500,0.05,0.18)))-IF(AND(N86&gt;7500,O86&gt;7500),N86/1.18,N86),(O86-IF(AND(N86&gt;7500,O86&gt;7500),N86/1.18,N86))/(1+IF(O86&lt;=1000,0,IF(O86&lt;=7500,0.05,0.18)))))/(IF(AND(N86&gt;7500,O86&gt;7500),N86/1.18,N86)))</f>
        <v>0.229832480690139</v>
      </c>
      <c r="R86" s="15" t="n">
        <f aca="false">IF(OR(N86="",O86=""),"",((O86-N86)/1.18)/N86)</f>
        <v>0.194773288720457</v>
      </c>
      <c r="S86" s="15" t="n">
        <f aca="false">IF(OR(P86="",O86=""),"",(P86-O86)/O86)</f>
        <v>0.0706464821128529</v>
      </c>
      <c r="T86" s="9" t="str">
        <f aca="false">IF(AND(D86="",G86&lt;&gt;""),"no dates - assumed 1 night",IF(Q86="","",IF(Q86&gt;1.5,"check: markup &gt;150%",IF(Q86&lt;0,"below cost",""))))</f>
        <v/>
      </c>
    </row>
    <row r="87" customFormat="false" ht="15" hidden="false" customHeight="false" outlineLevel="0" collapsed="false">
      <c r="A87" s="9" t="s">
        <v>9</v>
      </c>
      <c r="B87" s="9" t="s">
        <v>75</v>
      </c>
      <c r="C87" s="9" t="s">
        <v>41</v>
      </c>
      <c r="D87" s="10" t="s">
        <v>42</v>
      </c>
      <c r="E87" s="10" t="s">
        <v>43</v>
      </c>
      <c r="F87" s="9" t="n">
        <f aca="false">IF(OR(D87="",E87=""),1,MAX(1,DATEVALUE(E87)-DATEVALUE(D87)))</f>
        <v>3</v>
      </c>
      <c r="G87" s="11" t="n">
        <v>12167</v>
      </c>
      <c r="H87" s="11" t="n">
        <v>15250</v>
      </c>
      <c r="I87" s="11"/>
      <c r="J87" s="11"/>
      <c r="K87" s="11"/>
      <c r="L87" s="12" t="n">
        <v>147.89</v>
      </c>
      <c r="M87" s="13" t="n">
        <v>0.14</v>
      </c>
      <c r="N87" s="14" t="n">
        <f aca="false">IF(G87="","",G87/F87)</f>
        <v>4055.66666666667</v>
      </c>
      <c r="O87" s="14" t="n">
        <f aca="false">IF(COUNT(H87:K87)=0,"",MIN(H87:K87)/F87)</f>
        <v>5083.33333333333</v>
      </c>
      <c r="P87" s="14" t="n">
        <f aca="false">IF(L87="","",L87*95/F87)</f>
        <v>4683.18333333333</v>
      </c>
      <c r="Q87" s="15" t="n">
        <f aca="false">IF(OR(N87="",O87=""),"",(IF(AND(N87&gt;7500,O87&gt;7500),O87/(1+IF(O87&lt;=1000,0,IF(O87&lt;=7500,0.05,0.18)))-IF(AND(N87&gt;7500,O87&gt;7500),N87/1.18,N87),(O87-IF(AND(N87&gt;7500,O87&gt;7500),N87/1.18,N87))/(1+IF(O87&lt;=1000,0,IF(O87&lt;=7500,0.05,0.18)))))/(IF(AND(N87&gt;7500,O87&gt;7500),N87/1.18,N87)))</f>
        <v>0.241324112450931</v>
      </c>
      <c r="R87" s="15" t="n">
        <f aca="false">IF(OR(N87="",O87=""),"",((O87-N87)/1.18)/N87)</f>
        <v>0.214737557689388</v>
      </c>
      <c r="S87" s="15" t="n">
        <f aca="false">IF(OR(P87="",O87=""),"",(P87-O87)/O87)</f>
        <v>-0.0787180327868852</v>
      </c>
      <c r="T87" s="9" t="str">
        <f aca="false">IF(AND(D87="",G87&lt;&gt;""),"no dates - assumed 1 night",IF(Q87="","",IF(Q87&gt;1.5,"check: markup &gt;150%",IF(Q87&lt;0,"below cost",""))))</f>
        <v/>
      </c>
    </row>
    <row r="88" customFormat="false" ht="15" hidden="false" customHeight="false" outlineLevel="0" collapsed="false">
      <c r="A88" s="9" t="s">
        <v>9</v>
      </c>
      <c r="B88" s="9" t="s">
        <v>75</v>
      </c>
      <c r="C88" s="9" t="s">
        <v>44</v>
      </c>
      <c r="D88" s="10" t="s">
        <v>45</v>
      </c>
      <c r="E88" s="10" t="s">
        <v>46</v>
      </c>
      <c r="F88" s="9" t="n">
        <f aca="false">IF(OR(D88="",E88=""),1,MAX(1,DATEVALUE(E88)-DATEVALUE(D88)))</f>
        <v>3</v>
      </c>
      <c r="G88" s="11" t="n">
        <v>10670</v>
      </c>
      <c r="H88" s="11" t="n">
        <v>11539</v>
      </c>
      <c r="I88" s="11"/>
      <c r="J88" s="11"/>
      <c r="K88" s="11"/>
      <c r="L88" s="12" t="n">
        <v>123.83</v>
      </c>
      <c r="M88" s="13" t="n">
        <v>0.15</v>
      </c>
      <c r="N88" s="14" t="n">
        <f aca="false">IF(G88="","",G88/F88)</f>
        <v>3556.66666666667</v>
      </c>
      <c r="O88" s="14" t="n">
        <f aca="false">IF(COUNT(H88:K88)=0,"",MIN(H88:K88)/F88)</f>
        <v>3846.33333333333</v>
      </c>
      <c r="P88" s="14" t="n">
        <f aca="false">IF(L88="","",L88*95/F88)</f>
        <v>3921.28333333333</v>
      </c>
      <c r="Q88" s="15" t="n">
        <f aca="false">IF(OR(N88="",O88=""),"",(IF(AND(N88&gt;7500,O88&gt;7500),O88/(1+IF(O88&lt;=1000,0,IF(O88&lt;=7500,0.05,0.18)))-IF(AND(N88&gt;7500,O88&gt;7500),N88/1.18,N88),(O88-IF(AND(N88&gt;7500,O88&gt;7500),N88/1.18,N88))/(1+IF(O88&lt;=1000,0,IF(O88&lt;=7500,0.05,0.18)))))/(IF(AND(N88&gt;7500,O88&gt;7500),N88/1.18,N88)))</f>
        <v>0.0775650466372117</v>
      </c>
      <c r="R88" s="15" t="n">
        <f aca="false">IF(OR(N88="",O88=""),"",((O88-N88)/1.18)/N88)</f>
        <v>0.0690197448890443</v>
      </c>
      <c r="S88" s="15" t="n">
        <f aca="false">IF(OR(P88="",O88=""),"",(P88-O88)/O88)</f>
        <v>0.019486090649103</v>
      </c>
      <c r="T88" s="9" t="str">
        <f aca="false">IF(AND(D88="",G88&lt;&gt;""),"no dates - assumed 1 night",IF(Q88="","",IF(Q88&gt;1.5,"check: markup &gt;150%",IF(Q88&lt;0,"below cost",""))))</f>
        <v/>
      </c>
    </row>
    <row r="89" customFormat="false" ht="15" hidden="false" customHeight="false" outlineLevel="0" collapsed="false">
      <c r="A89" s="9" t="s">
        <v>9</v>
      </c>
      <c r="B89" s="9" t="s">
        <v>75</v>
      </c>
      <c r="C89" s="9" t="s">
        <v>47</v>
      </c>
      <c r="D89" s="10" t="s">
        <v>48</v>
      </c>
      <c r="E89" s="10" t="s">
        <v>49</v>
      </c>
      <c r="F89" s="9" t="n">
        <f aca="false">IF(OR(D89="",E89=""),1,MAX(1,DATEVALUE(E89)-DATEVALUE(D89)))</f>
        <v>3</v>
      </c>
      <c r="G89" s="11" t="n">
        <v>16626</v>
      </c>
      <c r="H89" s="11" t="n">
        <v>19801</v>
      </c>
      <c r="I89" s="11"/>
      <c r="J89" s="11"/>
      <c r="K89" s="11"/>
      <c r="L89" s="12" t="n">
        <v>189.93</v>
      </c>
      <c r="M89" s="13" t="n">
        <v>0.12</v>
      </c>
      <c r="N89" s="14" t="n">
        <f aca="false">IF(G89="","",G89/F89)</f>
        <v>5542</v>
      </c>
      <c r="O89" s="14" t="n">
        <f aca="false">IF(COUNT(H89:K89)=0,"",MIN(H89:K89)/F89)</f>
        <v>6600.33333333333</v>
      </c>
      <c r="P89" s="14" t="n">
        <f aca="false">IF(L89="","",L89*95/F89)</f>
        <v>6014.45</v>
      </c>
      <c r="Q89" s="15" t="n">
        <f aca="false">IF(OR(N89="",O89=""),"",(IF(AND(N89&gt;7500,O89&gt;7500),O89/(1+IF(O89&lt;=1000,0,IF(O89&lt;=7500,0.05,0.18)))-IF(AND(N89&gt;7500,O89&gt;7500),N89/1.18,N89),(O89-IF(AND(N89&gt;7500,O89&gt;7500),N89/1.18,N89))/(1+IF(O89&lt;=1000,0,IF(O89&lt;=7500,0.05,0.18)))))/(IF(AND(N89&gt;7500,O89&gt;7500),N89/1.18,N89)))</f>
        <v>0.18187233993802</v>
      </c>
      <c r="R89" s="15" t="n">
        <f aca="false">IF(OR(N89="",O89=""),"",((O89-N89)/1.18)/N89)</f>
        <v>0.161835556724509</v>
      </c>
      <c r="S89" s="15" t="n">
        <f aca="false">IF(OR(P89="",O89=""),"",(P89-O89)/O89)</f>
        <v>-0.0887657189030855</v>
      </c>
      <c r="T89" s="9" t="str">
        <f aca="false">IF(AND(D89="",G89&lt;&gt;""),"no dates - assumed 1 night",IF(Q89="","",IF(Q89&gt;1.5,"check: markup &gt;150%",IF(Q89&lt;0,"below cost",""))))</f>
        <v/>
      </c>
    </row>
    <row r="90" customFormat="false" ht="15" hidden="false" customHeight="false" outlineLevel="0" collapsed="false">
      <c r="A90" s="9" t="s">
        <v>9</v>
      </c>
      <c r="B90" s="9" t="s">
        <v>75</v>
      </c>
      <c r="C90" s="9" t="s">
        <v>50</v>
      </c>
      <c r="D90" s="10" t="s">
        <v>51</v>
      </c>
      <c r="E90" s="10" t="s">
        <v>52</v>
      </c>
      <c r="F90" s="9" t="n">
        <f aca="false">IF(OR(D90="",E90=""),1,MAX(1,DATEVALUE(E90)-DATEVALUE(D90)))</f>
        <v>3</v>
      </c>
      <c r="G90" s="11" t="n">
        <v>27513</v>
      </c>
      <c r="H90" s="11" t="n">
        <v>33099</v>
      </c>
      <c r="I90" s="11"/>
      <c r="J90" s="11"/>
      <c r="K90" s="11"/>
      <c r="L90" s="12" t="n">
        <v>323.63</v>
      </c>
      <c r="M90" s="13" t="n">
        <v>0.13</v>
      </c>
      <c r="N90" s="14" t="n">
        <f aca="false">IF(G90="","",G90/F90)</f>
        <v>9171</v>
      </c>
      <c r="O90" s="14" t="n">
        <f aca="false">IF(COUNT(H90:K90)=0,"",MIN(H90:K90)/F90)</f>
        <v>11033</v>
      </c>
      <c r="P90" s="14" t="n">
        <f aca="false">IF(L90="","",L90*95/F90)</f>
        <v>10248.2833333333</v>
      </c>
      <c r="Q90" s="15" t="n">
        <f aca="false">IF(OR(N90="",O90=""),"",(IF(AND(N90&gt;7500,O90&gt;7500),O90/(1+IF(O90&lt;=1000,0,IF(O90&lt;=7500,0.05,0.18)))-IF(AND(N90&gt;7500,O90&gt;7500),N90/1.18,N90),(O90-IF(AND(N90&gt;7500,O90&gt;7500),N90/1.18,N90))/(1+IF(O90&lt;=1000,0,IF(O90&lt;=7500,0.05,0.18)))))/(IF(AND(N90&gt;7500,O90&gt;7500),N90/1.18,N90)))</f>
        <v>0.203031294297241</v>
      </c>
      <c r="R90" s="15" t="n">
        <f aca="false">IF(OR(N90="",O90=""),"",((O90-N90)/1.18)/N90)</f>
        <v>0.172060418895967</v>
      </c>
      <c r="S90" s="15" t="n">
        <f aca="false">IF(OR(P90="",O90=""),"",(P90-O90)/O90)</f>
        <v>-0.0711245052720626</v>
      </c>
      <c r="T90" s="9" t="str">
        <f aca="false">IF(AND(D90="",G90&lt;&gt;""),"no dates - assumed 1 night",IF(Q90="","",IF(Q90&gt;1.5,"check: markup &gt;150%",IF(Q90&lt;0,"below cost",""))))</f>
        <v/>
      </c>
    </row>
    <row r="91" customFormat="false" ht="15" hidden="false" customHeight="false" outlineLevel="0" collapsed="false">
      <c r="A91" s="9" t="s">
        <v>9</v>
      </c>
      <c r="B91" s="9" t="s">
        <v>75</v>
      </c>
      <c r="C91" s="9" t="s">
        <v>54</v>
      </c>
      <c r="D91" s="10" t="s">
        <v>55</v>
      </c>
      <c r="E91" s="10" t="s">
        <v>56</v>
      </c>
      <c r="F91" s="9" t="n">
        <f aca="false">IF(OR(D91="",E91=""),1,MAX(1,DATEVALUE(E91)-DATEVALUE(D91)))</f>
        <v>3</v>
      </c>
      <c r="G91" s="11" t="n">
        <v>19586</v>
      </c>
      <c r="H91" s="11" t="n">
        <v>21420</v>
      </c>
      <c r="I91" s="11"/>
      <c r="J91" s="11"/>
      <c r="K91" s="11"/>
      <c r="L91" s="12" t="n">
        <v>224.52</v>
      </c>
      <c r="M91" s="13" t="n">
        <v>0.12</v>
      </c>
      <c r="N91" s="14" t="n">
        <f aca="false">IF(G91="","",G91/F91)</f>
        <v>6528.66666666667</v>
      </c>
      <c r="O91" s="14" t="n">
        <f aca="false">IF(COUNT(H91:K91)=0,"",MIN(H91:K91)/F91)</f>
        <v>7140</v>
      </c>
      <c r="P91" s="14" t="n">
        <f aca="false">IF(L91="","",L91*95/F91)</f>
        <v>7109.8</v>
      </c>
      <c r="Q91" s="15" t="n">
        <f aca="false">IF(OR(N91="",O91=""),"",(IF(AND(N91&gt;7500,O91&gt;7500),O91/(1+IF(O91&lt;=1000,0,IF(O91&lt;=7500,0.05,0.18)))-IF(AND(N91&gt;7500,O91&gt;7500),N91/1.18,N91),(O91-IF(AND(N91&gt;7500,O91&gt;7500),N91/1.18,N91))/(1+IF(O91&lt;=1000,0,IF(O91&lt;=7500,0.05,0.18)))))/(IF(AND(N91&gt;7500,O91&gt;7500),N91/1.18,N91)))</f>
        <v>0.0891793457912114</v>
      </c>
      <c r="R91" s="15" t="n">
        <f aca="false">IF(OR(N91="",O91=""),"",((O91-N91)/1.18)/N91)</f>
        <v>0.0793545026108237</v>
      </c>
      <c r="S91" s="15" t="n">
        <f aca="false">IF(OR(P91="",O91=""),"",(P91-O91)/O91)</f>
        <v>-0.00422969187675067</v>
      </c>
      <c r="T91" s="9" t="str">
        <f aca="false">IF(AND(D91="",G91&lt;&gt;""),"no dates - assumed 1 night",IF(Q91="","",IF(Q91&gt;1.5,"check: markup &gt;150%",IF(Q91&lt;0,"below cost",""))))</f>
        <v/>
      </c>
    </row>
    <row r="92" customFormat="false" ht="15" hidden="false" customHeight="false" outlineLevel="0" collapsed="false">
      <c r="A92" s="9" t="s">
        <v>9</v>
      </c>
      <c r="B92" s="9" t="s">
        <v>75</v>
      </c>
      <c r="C92" s="9" t="s">
        <v>41</v>
      </c>
      <c r="D92" s="10" t="s">
        <v>42</v>
      </c>
      <c r="E92" s="10" t="s">
        <v>43</v>
      </c>
      <c r="F92" s="9" t="n">
        <f aca="false">IF(OR(D92="",E92=""),1,MAX(1,DATEVALUE(E92)-DATEVALUE(D92)))</f>
        <v>3</v>
      </c>
      <c r="G92" s="11" t="n">
        <v>12167</v>
      </c>
      <c r="H92" s="11" t="n">
        <v>13834</v>
      </c>
      <c r="I92" s="11"/>
      <c r="J92" s="11"/>
      <c r="K92" s="11"/>
      <c r="L92" s="12" t="n">
        <v>147.89</v>
      </c>
      <c r="M92" s="13" t="n">
        <v>0.14</v>
      </c>
      <c r="N92" s="14" t="n">
        <f aca="false">IF(G92="","",G92/F92)</f>
        <v>4055.66666666667</v>
      </c>
      <c r="O92" s="14" t="n">
        <f aca="false">IF(COUNT(H92:K92)=0,"",MIN(H92:K92)/F92)</f>
        <v>4611.33333333333</v>
      </c>
      <c r="P92" s="14" t="n">
        <f aca="false">IF(L92="","",L92*95/F92)</f>
        <v>4683.18333333333</v>
      </c>
      <c r="Q92" s="15" t="n">
        <f aca="false">IF(OR(N92="",O92=""),"",(IF(AND(N92&gt;7500,O92&gt;7500),O92/(1+IF(O92&lt;=1000,0,IF(O92&lt;=7500,0.05,0.18)))-IF(AND(N92&gt;7500,O92&gt;7500),N92/1.18,N92),(O92-IF(AND(N92&gt;7500,O92&gt;7500),N92/1.18,N92))/(1+IF(O92&lt;=1000,0,IF(O92&lt;=7500,0.05,0.18)))))/(IF(AND(N92&gt;7500,O92&gt;7500),N92/1.18,N92)))</f>
        <v>0.130485661840967</v>
      </c>
      <c r="R92" s="15" t="n">
        <f aca="false">IF(OR(N92="",O92=""),"",((O92-N92)/1.18)/N92)</f>
        <v>0.116110122824589</v>
      </c>
      <c r="S92" s="15" t="n">
        <f aca="false">IF(OR(P92="",O92=""),"",(P92-O92)/O92)</f>
        <v>0.0155811768107562</v>
      </c>
      <c r="T92" s="9" t="str">
        <f aca="false">IF(AND(D92="",G92&lt;&gt;""),"no dates - assumed 1 night",IF(Q92="","",IF(Q92&gt;1.5,"check: markup &gt;150%",IF(Q92&lt;0,"below cost",""))))</f>
        <v/>
      </c>
    </row>
    <row r="93" customFormat="false" ht="15" hidden="false" customHeight="false" outlineLevel="0" collapsed="false">
      <c r="A93" s="9" t="s">
        <v>9</v>
      </c>
      <c r="B93" s="9" t="s">
        <v>75</v>
      </c>
      <c r="C93" s="9" t="s">
        <v>44</v>
      </c>
      <c r="D93" s="10" t="s">
        <v>45</v>
      </c>
      <c r="E93" s="10" t="s">
        <v>46</v>
      </c>
      <c r="F93" s="9" t="n">
        <f aca="false">IF(OR(D93="",E93=""),1,MAX(1,DATEVALUE(E93)-DATEVALUE(D93)))</f>
        <v>3</v>
      </c>
      <c r="G93" s="11" t="n">
        <v>10083</v>
      </c>
      <c r="H93" s="11" t="n">
        <v>11513</v>
      </c>
      <c r="I93" s="11"/>
      <c r="J93" s="11"/>
      <c r="K93" s="11"/>
      <c r="L93" s="12" t="n">
        <v>123.83</v>
      </c>
      <c r="M93" s="13" t="n">
        <v>0.15</v>
      </c>
      <c r="N93" s="14" t="n">
        <f aca="false">IF(G93="","",G93/F93)</f>
        <v>3361</v>
      </c>
      <c r="O93" s="14" t="n">
        <f aca="false">IF(COUNT(H93:K93)=0,"",MIN(H93:K93)/F93)</f>
        <v>3837.66666666667</v>
      </c>
      <c r="P93" s="14" t="n">
        <f aca="false">IF(L93="","",L93*95/F93)</f>
        <v>3921.28333333333</v>
      </c>
      <c r="Q93" s="15" t="n">
        <f aca="false">IF(OR(N93="",O93=""),"",(IF(AND(N93&gt;7500,O93&gt;7500),O93/(1+IF(O93&lt;=1000,0,IF(O93&lt;=7500,0.05,0.18)))-IF(AND(N93&gt;7500,O93&gt;7500),N93/1.18,N93),(O93-IF(AND(N93&gt;7500,O93&gt;7500),N93/1.18,N93))/(1+IF(O93&lt;=1000,0,IF(O93&lt;=7500,0.05,0.18)))))/(IF(AND(N93&gt;7500,O93&gt;7500),N93/1.18,N93)))</f>
        <v>0.135069400169073</v>
      </c>
      <c r="R93" s="15" t="n">
        <f aca="false">IF(OR(N93="",O93=""),"",((O93-N93)/1.18)/N93)</f>
        <v>0.120188873031802</v>
      </c>
      <c r="S93" s="15" t="n">
        <f aca="false">IF(OR(P93="",O93=""),"",(P93-O93)/O93)</f>
        <v>0.0217884130982368</v>
      </c>
      <c r="T93" s="9" t="str">
        <f aca="false">IF(AND(D93="",G93&lt;&gt;""),"no dates - assumed 1 night",IF(Q93="","",IF(Q93&gt;1.5,"check: markup &gt;150%",IF(Q93&lt;0,"below cost",""))))</f>
        <v/>
      </c>
    </row>
    <row r="94" customFormat="false" ht="15" hidden="false" customHeight="false" outlineLevel="0" collapsed="false">
      <c r="A94" s="9" t="s">
        <v>9</v>
      </c>
      <c r="B94" s="9" t="s">
        <v>75</v>
      </c>
      <c r="C94" s="9" t="s">
        <v>47</v>
      </c>
      <c r="D94" s="10" t="s">
        <v>48</v>
      </c>
      <c r="E94" s="10" t="s">
        <v>49</v>
      </c>
      <c r="F94" s="9" t="n">
        <f aca="false">IF(OR(D94="",E94=""),1,MAX(1,DATEVALUE(E94)-DATEVALUE(D94)))</f>
        <v>3</v>
      </c>
      <c r="G94" s="11" t="n">
        <v>16471</v>
      </c>
      <c r="H94" s="11" t="n">
        <v>18118</v>
      </c>
      <c r="I94" s="11"/>
      <c r="J94" s="11"/>
      <c r="K94" s="11"/>
      <c r="L94" s="12" t="n">
        <v>189.93</v>
      </c>
      <c r="M94" s="13" t="n">
        <v>0.12</v>
      </c>
      <c r="N94" s="14" t="n">
        <f aca="false">IF(G94="","",G94/F94)</f>
        <v>5490.33333333333</v>
      </c>
      <c r="O94" s="14" t="n">
        <f aca="false">IF(COUNT(H94:K94)=0,"",MIN(H94:K94)/F94)</f>
        <v>6039.33333333333</v>
      </c>
      <c r="P94" s="14" t="n">
        <f aca="false">IF(L94="","",L94*95/F94)</f>
        <v>6014.45</v>
      </c>
      <c r="Q94" s="15" t="n">
        <f aca="false">IF(OR(N94="",O94=""),"",(IF(AND(N94&gt;7500,O94&gt;7500),O94/(1+IF(O94&lt;=1000,0,IF(O94&lt;=7500,0.05,0.18)))-IF(AND(N94&gt;7500,O94&gt;7500),N94/1.18,N94),(O94-IF(AND(N94&gt;7500,O94&gt;7500),N94/1.18,N94))/(1+IF(O94&lt;=1000,0,IF(O94&lt;=7500,0.05,0.18)))))/(IF(AND(N94&gt;7500,O94&gt;7500),N94/1.18,N94)))</f>
        <v>0.0952323130697243</v>
      </c>
      <c r="R94" s="15" t="n">
        <f aca="false">IF(OR(N94="",O94=""),"",((O94-N94)/1.18)/N94)</f>
        <v>0.0847406175620428</v>
      </c>
      <c r="S94" s="15" t="n">
        <f aca="false">IF(OR(P94="",O94=""),"",(P94-O94)/O94)</f>
        <v>-0.004120211943923</v>
      </c>
      <c r="T94" s="9" t="str">
        <f aca="false">IF(AND(D94="",G94&lt;&gt;""),"no dates - assumed 1 night",IF(Q94="","",IF(Q94&gt;1.5,"check: markup &gt;150%",IF(Q94&lt;0,"below cost",""))))</f>
        <v/>
      </c>
    </row>
    <row r="95" customFormat="false" ht="15" hidden="false" customHeight="false" outlineLevel="0" collapsed="false">
      <c r="A95" s="9" t="s">
        <v>9</v>
      </c>
      <c r="B95" s="9" t="s">
        <v>75</v>
      </c>
      <c r="C95" s="9" t="s">
        <v>50</v>
      </c>
      <c r="D95" s="10" t="s">
        <v>51</v>
      </c>
      <c r="E95" s="10" t="s">
        <v>52</v>
      </c>
      <c r="F95" s="9" t="n">
        <f aca="false">IF(OR(D95="",E95=""),1,MAX(1,DATEVALUE(E95)-DATEVALUE(D95)))</f>
        <v>3</v>
      </c>
      <c r="G95" s="11" t="n">
        <v>27513</v>
      </c>
      <c r="H95" s="11" t="n">
        <v>33099</v>
      </c>
      <c r="I95" s="11"/>
      <c r="J95" s="11"/>
      <c r="K95" s="11"/>
      <c r="L95" s="12" t="n">
        <v>323.63</v>
      </c>
      <c r="M95" s="13" t="n">
        <v>0.13</v>
      </c>
      <c r="N95" s="14" t="n">
        <f aca="false">IF(G95="","",G95/F95)</f>
        <v>9171</v>
      </c>
      <c r="O95" s="14" t="n">
        <f aca="false">IF(COUNT(H95:K95)=0,"",MIN(H95:K95)/F95)</f>
        <v>11033</v>
      </c>
      <c r="P95" s="14" t="n">
        <f aca="false">IF(L95="","",L95*95/F95)</f>
        <v>10248.2833333333</v>
      </c>
      <c r="Q95" s="15" t="n">
        <f aca="false">IF(OR(N95="",O95=""),"",(IF(AND(N95&gt;7500,O95&gt;7500),O95/(1+IF(O95&lt;=1000,0,IF(O95&lt;=7500,0.05,0.18)))-IF(AND(N95&gt;7500,O95&gt;7500),N95/1.18,N95),(O95-IF(AND(N95&gt;7500,O95&gt;7500),N95/1.18,N95))/(1+IF(O95&lt;=1000,0,IF(O95&lt;=7500,0.05,0.18)))))/(IF(AND(N95&gt;7500,O95&gt;7500),N95/1.18,N95)))</f>
        <v>0.203031294297241</v>
      </c>
      <c r="R95" s="15" t="n">
        <f aca="false">IF(OR(N95="",O95=""),"",((O95-N95)/1.18)/N95)</f>
        <v>0.172060418895967</v>
      </c>
      <c r="S95" s="15" t="n">
        <f aca="false">IF(OR(P95="",O95=""),"",(P95-O95)/O95)</f>
        <v>-0.0711245052720626</v>
      </c>
      <c r="T95" s="9" t="str">
        <f aca="false">IF(AND(D95="",G95&lt;&gt;""),"no dates - assumed 1 night",IF(Q95="","",IF(Q95&gt;1.5,"check: markup &gt;150%",IF(Q95&lt;0,"below cost",""))))</f>
        <v/>
      </c>
    </row>
    <row r="96" customFormat="false" ht="15" hidden="false" customHeight="false" outlineLevel="0" collapsed="false">
      <c r="A96" s="9" t="s">
        <v>9</v>
      </c>
      <c r="B96" s="9" t="s">
        <v>75</v>
      </c>
      <c r="C96" s="9" t="s">
        <v>54</v>
      </c>
      <c r="D96" s="10" t="s">
        <v>55</v>
      </c>
      <c r="E96" s="10" t="s">
        <v>56</v>
      </c>
      <c r="F96" s="9" t="n">
        <f aca="false">IF(OR(D96="",E96=""),1,MAX(1,DATEVALUE(E96)-DATEVALUE(D96)))</f>
        <v>3</v>
      </c>
      <c r="G96" s="11" t="n">
        <v>19586</v>
      </c>
      <c r="H96" s="11" t="n">
        <v>21420</v>
      </c>
      <c r="I96" s="11"/>
      <c r="J96" s="11"/>
      <c r="K96" s="11"/>
      <c r="L96" s="12" t="n">
        <v>224.52</v>
      </c>
      <c r="M96" s="13" t="n">
        <v>0.12</v>
      </c>
      <c r="N96" s="14" t="n">
        <f aca="false">IF(G96="","",G96/F96)</f>
        <v>6528.66666666667</v>
      </c>
      <c r="O96" s="14" t="n">
        <f aca="false">IF(COUNT(H96:K96)=0,"",MIN(H96:K96)/F96)</f>
        <v>7140</v>
      </c>
      <c r="P96" s="14" t="n">
        <f aca="false">IF(L96="","",L96*95/F96)</f>
        <v>7109.8</v>
      </c>
      <c r="Q96" s="15" t="n">
        <f aca="false">IF(OR(N96="",O96=""),"",(IF(AND(N96&gt;7500,O96&gt;7500),O96/(1+IF(O96&lt;=1000,0,IF(O96&lt;=7500,0.05,0.18)))-IF(AND(N96&gt;7500,O96&gt;7500),N96/1.18,N96),(O96-IF(AND(N96&gt;7500,O96&gt;7500),N96/1.18,N96))/(1+IF(O96&lt;=1000,0,IF(O96&lt;=7500,0.05,0.18)))))/(IF(AND(N96&gt;7500,O96&gt;7500),N96/1.18,N96)))</f>
        <v>0.0891793457912114</v>
      </c>
      <c r="R96" s="15" t="n">
        <f aca="false">IF(OR(N96="",O96=""),"",((O96-N96)/1.18)/N96)</f>
        <v>0.0793545026108237</v>
      </c>
      <c r="S96" s="15" t="n">
        <f aca="false">IF(OR(P96="",O96=""),"",(P96-O96)/O96)</f>
        <v>-0.00422969187675067</v>
      </c>
      <c r="T96" s="9" t="str">
        <f aca="false">IF(AND(D96="",G96&lt;&gt;""),"no dates - assumed 1 night",IF(Q96="","",IF(Q96&gt;1.5,"check: markup &gt;150%",IF(Q96&lt;0,"below cost",""))))</f>
        <v/>
      </c>
    </row>
    <row r="97" customFormat="false" ht="15" hidden="false" customHeight="false" outlineLevel="0" collapsed="false">
      <c r="A97" s="9" t="s">
        <v>9</v>
      </c>
      <c r="B97" s="9" t="s">
        <v>76</v>
      </c>
      <c r="C97" s="9" t="s">
        <v>41</v>
      </c>
      <c r="D97" s="10" t="s">
        <v>42</v>
      </c>
      <c r="E97" s="10" t="s">
        <v>43</v>
      </c>
      <c r="F97" s="9" t="n">
        <f aca="false">IF(OR(D97="",E97=""),1,MAX(1,DATEVALUE(E97)-DATEVALUE(D97)))</f>
        <v>3</v>
      </c>
      <c r="G97" s="11" t="n">
        <v>10497</v>
      </c>
      <c r="H97" s="11" t="n">
        <v>11944</v>
      </c>
      <c r="I97" s="11"/>
      <c r="J97" s="11"/>
      <c r="K97" s="11"/>
      <c r="L97" s="12"/>
      <c r="M97" s="13"/>
      <c r="N97" s="14" t="n">
        <f aca="false">IF(G97="","",G97/F97)</f>
        <v>3499</v>
      </c>
      <c r="O97" s="14" t="n">
        <f aca="false">IF(COUNT(H97:K97)=0,"",MIN(H97:K97)/F97)</f>
        <v>3981.33333333333</v>
      </c>
      <c r="P97" s="14" t="str">
        <f aca="false">IF(L97="","",L97*95/F97)</f>
        <v/>
      </c>
      <c r="Q97" s="15" t="n">
        <f aca="false">IF(OR(N97="",O97=""),"",(IF(AND(N97&gt;7500,O97&gt;7500),O97/(1+IF(O97&lt;=1000,0,IF(O97&lt;=7500,0.05,0.18)))-IF(AND(N97&gt;7500,O97&gt;7500),N97/1.18,N97),(O97-IF(AND(N97&gt;7500,O97&gt;7500),N97/1.18,N97))/(1+IF(O97&lt;=1000,0,IF(O97&lt;=7500,0.05,0.18)))))/(IF(AND(N97&gt;7500,O97&gt;7500),N97/1.18,N97)))</f>
        <v>0.131284675440148</v>
      </c>
      <c r="R97" s="15" t="n">
        <f aca="false">IF(OR(N97="",O97=""),"",((O97-N97)/1.18)/N97)</f>
        <v>0.116821109501827</v>
      </c>
      <c r="S97" s="15" t="str">
        <f aca="false">IF(OR(P97="",O97=""),"",(P97-O97)/O97)</f>
        <v/>
      </c>
      <c r="T97" s="9" t="str">
        <f aca="false">IF(AND(D97="",G97&lt;&gt;""),"no dates - assumed 1 night",IF(Q97="","",IF(Q97&gt;1.5,"check: markup &gt;150%",IF(Q97&lt;0,"below cost",""))))</f>
        <v/>
      </c>
    </row>
    <row r="98" customFormat="false" ht="15" hidden="false" customHeight="false" outlineLevel="0" collapsed="false">
      <c r="A98" s="9" t="s">
        <v>9</v>
      </c>
      <c r="B98" s="9" t="s">
        <v>76</v>
      </c>
      <c r="C98" s="9" t="s">
        <v>44</v>
      </c>
      <c r="D98" s="10" t="s">
        <v>45</v>
      </c>
      <c r="E98" s="10" t="s">
        <v>46</v>
      </c>
      <c r="F98" s="9" t="n">
        <f aca="false">IF(OR(D98="",E98=""),1,MAX(1,DATEVALUE(E98)-DATEVALUE(D98)))</f>
        <v>3</v>
      </c>
      <c r="G98" s="11" t="n">
        <v>9702</v>
      </c>
      <c r="H98" s="11" t="n">
        <v>11388</v>
      </c>
      <c r="I98" s="11"/>
      <c r="J98" s="11"/>
      <c r="K98" s="11"/>
      <c r="L98" s="12"/>
      <c r="M98" s="13"/>
      <c r="N98" s="14" t="n">
        <f aca="false">IF(G98="","",G98/F98)</f>
        <v>3234</v>
      </c>
      <c r="O98" s="14" t="n">
        <f aca="false">IF(COUNT(H98:K98)=0,"",MIN(H98:K98)/F98)</f>
        <v>3796</v>
      </c>
      <c r="P98" s="14" t="str">
        <f aca="false">IF(L98="","",L98*95/F98)</f>
        <v/>
      </c>
      <c r="Q98" s="15" t="n">
        <f aca="false">IF(OR(N98="",O98=""),"",(IF(AND(N98&gt;7500,O98&gt;7500),O98/(1+IF(O98&lt;=1000,0,IF(O98&lt;=7500,0.05,0.18)))-IF(AND(N98&gt;7500,O98&gt;7500),N98/1.18,N98),(O98-IF(AND(N98&gt;7500,O98&gt;7500),N98/1.18,N98))/(1+IF(O98&lt;=1000,0,IF(O98&lt;=7500,0.05,0.18)))))/(IF(AND(N98&gt;7500,O98&gt;7500),N98/1.18,N98)))</f>
        <v>0.165503430809553</v>
      </c>
      <c r="R98" s="15" t="n">
        <f aca="false">IF(OR(N98="",O98=""),"",((O98-N98)/1.18)/N98)</f>
        <v>0.147270001991552</v>
      </c>
      <c r="S98" s="15" t="str">
        <f aca="false">IF(OR(P98="",O98=""),"",(P98-O98)/O98)</f>
        <v/>
      </c>
      <c r="T98" s="9" t="str">
        <f aca="false">IF(AND(D98="",G98&lt;&gt;""),"no dates - assumed 1 night",IF(Q98="","",IF(Q98&gt;1.5,"check: markup &gt;150%",IF(Q98&lt;0,"below cost",""))))</f>
        <v/>
      </c>
    </row>
    <row r="99" customFormat="false" ht="15" hidden="false" customHeight="false" outlineLevel="0" collapsed="false">
      <c r="A99" s="9" t="s">
        <v>9</v>
      </c>
      <c r="B99" s="9" t="s">
        <v>76</v>
      </c>
      <c r="C99" s="9" t="s">
        <v>47</v>
      </c>
      <c r="D99" s="10" t="s">
        <v>48</v>
      </c>
      <c r="E99" s="10" t="s">
        <v>49</v>
      </c>
      <c r="F99" s="9" t="n">
        <f aca="false">IF(OR(D99="",E99=""),1,MAX(1,DATEVALUE(E99)-DATEVALUE(D99)))</f>
        <v>3</v>
      </c>
      <c r="G99" s="11" t="n">
        <v>17277</v>
      </c>
      <c r="H99" s="11" t="n">
        <v>20279</v>
      </c>
      <c r="I99" s="11"/>
      <c r="J99" s="11"/>
      <c r="K99" s="11"/>
      <c r="L99" s="12"/>
      <c r="M99" s="13"/>
      <c r="N99" s="14" t="n">
        <f aca="false">IF(G99="","",G99/F99)</f>
        <v>5759</v>
      </c>
      <c r="O99" s="14" t="n">
        <f aca="false">IF(COUNT(H99:K99)=0,"",MIN(H99:K99)/F99)</f>
        <v>6759.66666666667</v>
      </c>
      <c r="P99" s="14" t="str">
        <f aca="false">IF(L99="","",L99*95/F99)</f>
        <v/>
      </c>
      <c r="Q99" s="15" t="n">
        <f aca="false">IF(OR(N99="",O99=""),"",(IF(AND(N99&gt;7500,O99&gt;7500),O99/(1+IF(O99&lt;=1000,0,IF(O99&lt;=7500,0.05,0.18)))-IF(AND(N99&gt;7500,O99&gt;7500),N99/1.18,N99),(O99-IF(AND(N99&gt;7500,O99&gt;7500),N99/1.18,N99))/(1+IF(O99&lt;=1000,0,IF(O99&lt;=7500,0.05,0.18)))))/(IF(AND(N99&gt;7500,O99&gt;7500),N99/1.18,N99)))</f>
        <v>0.165482874286486</v>
      </c>
      <c r="R99" s="15" t="n">
        <f aca="false">IF(OR(N99="",O99=""),"",((O99-N99)/1.18)/N99)</f>
        <v>0.147251710170178</v>
      </c>
      <c r="S99" s="15" t="str">
        <f aca="false">IF(OR(P99="",O99=""),"",(P99-O99)/O99)</f>
        <v/>
      </c>
      <c r="T99" s="9" t="str">
        <f aca="false">IF(AND(D99="",G99&lt;&gt;""),"no dates - assumed 1 night",IF(Q99="","",IF(Q99&gt;1.5,"check: markup &gt;150%",IF(Q99&lt;0,"below cost",""))))</f>
        <v/>
      </c>
    </row>
    <row r="100" customFormat="false" ht="15" hidden="false" customHeight="false" outlineLevel="0" collapsed="false">
      <c r="A100" s="9" t="s">
        <v>9</v>
      </c>
      <c r="B100" s="9" t="s">
        <v>76</v>
      </c>
      <c r="C100" s="9" t="s">
        <v>50</v>
      </c>
      <c r="D100" s="10" t="s">
        <v>51</v>
      </c>
      <c r="E100" s="10" t="s">
        <v>52</v>
      </c>
      <c r="F100" s="9" t="n">
        <f aca="false">IF(OR(D100="",E100=""),1,MAX(1,DATEVALUE(E100)-DATEVALUE(D100)))</f>
        <v>3</v>
      </c>
      <c r="G100" s="11" t="n">
        <v>21538</v>
      </c>
      <c r="H100" s="11" t="n">
        <v>28410</v>
      </c>
      <c r="I100" s="11"/>
      <c r="J100" s="11"/>
      <c r="K100" s="11"/>
      <c r="L100" s="12"/>
      <c r="M100" s="13"/>
      <c r="N100" s="14" t="n">
        <f aca="false">IF(G100="","",G100/F100)</f>
        <v>7179.33333333333</v>
      </c>
      <c r="O100" s="14" t="n">
        <f aca="false">IF(COUNT(H100:K100)=0,"",MIN(H100:K100)/F100)</f>
        <v>9470</v>
      </c>
      <c r="P100" s="14" t="str">
        <f aca="false">IF(L100="","",L100*95/F100)</f>
        <v/>
      </c>
      <c r="Q100" s="15" t="n">
        <f aca="false">IF(OR(N100="",O100=""),"",(IF(AND(N100&gt;7500,O100&gt;7500),O100/(1+IF(O100&lt;=1000,0,IF(O100&lt;=7500,0.05,0.18)))-IF(AND(N100&gt;7500,O100&gt;7500),N100/1.18,N100),(O100-IF(AND(N100&gt;7500,O100&gt;7500),N100/1.18,N100))/(1+IF(O100&lt;=1000,0,IF(O100&lt;=7500,0.05,0.18)))))/(IF(AND(N100&gt;7500,O100&gt;7500),N100/1.18,N100)))</f>
        <v>0.27039320334104</v>
      </c>
      <c r="R100" s="15" t="n">
        <f aca="false">IF(OR(N100="",O100=""),"",((O100-N100)/1.18)/N100)</f>
        <v>0.27039320334104</v>
      </c>
      <c r="S100" s="15" t="str">
        <f aca="false">IF(OR(P100="",O100=""),"",(P100-O100)/O100)</f>
        <v/>
      </c>
      <c r="T100" s="9" t="str">
        <f aca="false">IF(AND(D100="",G100&lt;&gt;""),"no dates - assumed 1 night",IF(Q100="","",IF(Q100&gt;1.5,"check: markup &gt;150%",IF(Q100&lt;0,"below cost",""))))</f>
        <v/>
      </c>
    </row>
    <row r="101" customFormat="false" ht="15" hidden="false" customHeight="false" outlineLevel="0" collapsed="false">
      <c r="A101" s="9" t="s">
        <v>9</v>
      </c>
      <c r="B101" s="9" t="s">
        <v>76</v>
      </c>
      <c r="C101" s="9" t="s">
        <v>54</v>
      </c>
      <c r="D101" s="10" t="s">
        <v>55</v>
      </c>
      <c r="E101" s="10" t="s">
        <v>56</v>
      </c>
      <c r="F101" s="9" t="n">
        <f aca="false">IF(OR(D101="",E101=""),1,MAX(1,DATEVALUE(E101)-DATEVALUE(D101)))</f>
        <v>3</v>
      </c>
      <c r="G101" s="11" t="n">
        <v>14436</v>
      </c>
      <c r="H101" s="11" t="n">
        <v>16945</v>
      </c>
      <c r="I101" s="11"/>
      <c r="J101" s="11"/>
      <c r="K101" s="11"/>
      <c r="L101" s="12"/>
      <c r="M101" s="13"/>
      <c r="N101" s="14" t="n">
        <f aca="false">IF(G101="","",G101/F101)</f>
        <v>4812</v>
      </c>
      <c r="O101" s="14" t="n">
        <f aca="false">IF(COUNT(H101:K101)=0,"",MIN(H101:K101)/F101)</f>
        <v>5648.33333333333</v>
      </c>
      <c r="P101" s="14" t="str">
        <f aca="false">IF(L101="","",L101*95/F101)</f>
        <v/>
      </c>
      <c r="Q101" s="15" t="n">
        <f aca="false">IF(OR(N101="",O101=""),"",(IF(AND(N101&gt;7500,O101&gt;7500),O101/(1+IF(O101&lt;=1000,0,IF(O101&lt;=7500,0.05,0.18)))-IF(AND(N101&gt;7500,O101&gt;7500),N101/1.18,N101),(O101-IF(AND(N101&gt;7500,O101&gt;7500),N101/1.18,N101))/(1+IF(O101&lt;=1000,0,IF(O101&lt;=7500,0.05,0.18)))))/(IF(AND(N101&gt;7500,O101&gt;7500),N101/1.18,N101)))</f>
        <v>0.165525340088931</v>
      </c>
      <c r="R101" s="15" t="n">
        <f aca="false">IF(OR(N101="",O101=""),"",((O101-N101)/1.18)/N101)</f>
        <v>0.147289497536761</v>
      </c>
      <c r="S101" s="15" t="str">
        <f aca="false">IF(OR(P101="",O101=""),"",(P101-O101)/O101)</f>
        <v/>
      </c>
      <c r="T101" s="9" t="str">
        <f aca="false">IF(AND(D101="",G101&lt;&gt;""),"no dates - assumed 1 night",IF(Q101="","",IF(Q101&gt;1.5,"check: markup &gt;150%",IF(Q101&lt;0,"below cost",""))))</f>
        <v/>
      </c>
    </row>
    <row r="102" customFormat="false" ht="15" hidden="false" customHeight="false" outlineLevel="0" collapsed="false">
      <c r="A102" s="9" t="s">
        <v>9</v>
      </c>
      <c r="B102" s="9" t="s">
        <v>77</v>
      </c>
      <c r="C102" s="9" t="s">
        <v>41</v>
      </c>
      <c r="D102" s="10" t="s">
        <v>42</v>
      </c>
      <c r="E102" s="10" t="s">
        <v>43</v>
      </c>
      <c r="F102" s="9" t="n">
        <f aca="false">IF(OR(D102="",E102=""),1,MAX(1,DATEVALUE(E102)-DATEVALUE(D102)))</f>
        <v>3</v>
      </c>
      <c r="G102" s="11"/>
      <c r="H102" s="11" t="n">
        <v>39613</v>
      </c>
      <c r="I102" s="11"/>
      <c r="J102" s="11"/>
      <c r="K102" s="11"/>
      <c r="L102" s="12"/>
      <c r="M102" s="13"/>
      <c r="N102" s="14" t="str">
        <f aca="false">IF(G102="","",G102/F102)</f>
        <v/>
      </c>
      <c r="O102" s="14" t="n">
        <f aca="false">IF(COUNT(H102:K102)=0,"",MIN(H102:K102)/F102)</f>
        <v>13204.3333333333</v>
      </c>
      <c r="P102" s="14" t="str">
        <f aca="false">IF(L102="","",L102*95/F102)</f>
        <v/>
      </c>
      <c r="Q102" s="15" t="str">
        <f aca="false">IF(OR(N102="",O102=""),"",(IF(AND(N102&gt;7500,O102&gt;7500),O102/(1+IF(O102&lt;=1000,0,IF(O102&lt;=7500,0.05,0.18)))-IF(AND(N102&gt;7500,O102&gt;7500),N102/1.18,N102),(O102-IF(AND(N102&gt;7500,O102&gt;7500),N102/1.18,N102))/(1+IF(O102&lt;=1000,0,IF(O102&lt;=7500,0.05,0.18)))))/(IF(AND(N102&gt;7500,O102&gt;7500),N102/1.18,N102)))</f>
        <v/>
      </c>
      <c r="R102" s="15" t="str">
        <f aca="false">IF(OR(N102="",O102=""),"",((O102-N102)/1.18)/N102)</f>
        <v/>
      </c>
      <c r="S102" s="15" t="str">
        <f aca="false">IF(OR(P102="",O102=""),"",(P102-O102)/O102)</f>
        <v/>
      </c>
      <c r="T102" s="9" t="str">
        <f aca="false">IF(AND(D102="",G102&lt;&gt;""),"no dates - assumed 1 night",IF(Q102="","",IF(Q102&gt;1.5,"check: markup &gt;150%",IF(Q102&lt;0,"below cost",""))))</f>
        <v/>
      </c>
    </row>
    <row r="103" customFormat="false" ht="15" hidden="false" customHeight="false" outlineLevel="0" collapsed="false">
      <c r="A103" s="9" t="s">
        <v>9</v>
      </c>
      <c r="B103" s="9" t="s">
        <v>77</v>
      </c>
      <c r="C103" s="9" t="s">
        <v>44</v>
      </c>
      <c r="D103" s="10" t="s">
        <v>45</v>
      </c>
      <c r="E103" s="10" t="s">
        <v>46</v>
      </c>
      <c r="F103" s="9" t="n">
        <f aca="false">IF(OR(D103="",E103=""),1,MAX(1,DATEVALUE(E103)-DATEVALUE(D103)))</f>
        <v>3</v>
      </c>
      <c r="G103" s="11"/>
      <c r="H103" s="11" t="n">
        <v>36108</v>
      </c>
      <c r="I103" s="11"/>
      <c r="J103" s="11"/>
      <c r="K103" s="11"/>
      <c r="L103" s="12"/>
      <c r="M103" s="13"/>
      <c r="N103" s="14" t="str">
        <f aca="false">IF(G103="","",G103/F103)</f>
        <v/>
      </c>
      <c r="O103" s="14" t="n">
        <f aca="false">IF(COUNT(H103:K103)=0,"",MIN(H103:K103)/F103)</f>
        <v>12036</v>
      </c>
      <c r="P103" s="14" t="str">
        <f aca="false">IF(L103="","",L103*95/F103)</f>
        <v/>
      </c>
      <c r="Q103" s="15" t="str">
        <f aca="false">IF(OR(N103="",O103=""),"",(IF(AND(N103&gt;7500,O103&gt;7500),O103/(1+IF(O103&lt;=1000,0,IF(O103&lt;=7500,0.05,0.18)))-IF(AND(N103&gt;7500,O103&gt;7500),N103/1.18,N103),(O103-IF(AND(N103&gt;7500,O103&gt;7500),N103/1.18,N103))/(1+IF(O103&lt;=1000,0,IF(O103&lt;=7500,0.05,0.18)))))/(IF(AND(N103&gt;7500,O103&gt;7500),N103/1.18,N103)))</f>
        <v/>
      </c>
      <c r="R103" s="15" t="str">
        <f aca="false">IF(OR(N103="",O103=""),"",((O103-N103)/1.18)/N103)</f>
        <v/>
      </c>
      <c r="S103" s="15" t="str">
        <f aca="false">IF(OR(P103="",O103=""),"",(P103-O103)/O103)</f>
        <v/>
      </c>
      <c r="T103" s="9" t="str">
        <f aca="false">IF(AND(D103="",G103&lt;&gt;""),"no dates - assumed 1 night",IF(Q103="","",IF(Q103&gt;1.5,"check: markup &gt;150%",IF(Q103&lt;0,"below cost",""))))</f>
        <v/>
      </c>
    </row>
    <row r="104" customFormat="false" ht="15" hidden="false" customHeight="false" outlineLevel="0" collapsed="false">
      <c r="A104" s="9" t="s">
        <v>9</v>
      </c>
      <c r="B104" s="9" t="s">
        <v>77</v>
      </c>
      <c r="C104" s="9" t="s">
        <v>47</v>
      </c>
      <c r="D104" s="10" t="s">
        <v>48</v>
      </c>
      <c r="E104" s="10" t="s">
        <v>49</v>
      </c>
      <c r="F104" s="9" t="n">
        <f aca="false">IF(OR(D104="",E104=""),1,MAX(1,DATEVALUE(E104)-DATEVALUE(D104)))</f>
        <v>3</v>
      </c>
      <c r="G104" s="11"/>
      <c r="H104" s="11" t="n">
        <v>78588</v>
      </c>
      <c r="I104" s="11"/>
      <c r="J104" s="11"/>
      <c r="K104" s="11"/>
      <c r="L104" s="12"/>
      <c r="M104" s="13"/>
      <c r="N104" s="14" t="str">
        <f aca="false">IF(G104="","",G104/F104)</f>
        <v/>
      </c>
      <c r="O104" s="14" t="n">
        <f aca="false">IF(COUNT(H104:K104)=0,"",MIN(H104:K104)/F104)</f>
        <v>26196</v>
      </c>
      <c r="P104" s="14" t="str">
        <f aca="false">IF(L104="","",L104*95/F104)</f>
        <v/>
      </c>
      <c r="Q104" s="15" t="str">
        <f aca="false">IF(OR(N104="",O104=""),"",(IF(AND(N104&gt;7500,O104&gt;7500),O104/(1+IF(O104&lt;=1000,0,IF(O104&lt;=7500,0.05,0.18)))-IF(AND(N104&gt;7500,O104&gt;7500),N104/1.18,N104),(O104-IF(AND(N104&gt;7500,O104&gt;7500),N104/1.18,N104))/(1+IF(O104&lt;=1000,0,IF(O104&lt;=7500,0.05,0.18)))))/(IF(AND(N104&gt;7500,O104&gt;7500),N104/1.18,N104)))</f>
        <v/>
      </c>
      <c r="R104" s="15" t="str">
        <f aca="false">IF(OR(N104="",O104=""),"",((O104-N104)/1.18)/N104)</f>
        <v/>
      </c>
      <c r="S104" s="15" t="str">
        <f aca="false">IF(OR(P104="",O104=""),"",(P104-O104)/O104)</f>
        <v/>
      </c>
      <c r="T104" s="9" t="str">
        <f aca="false">IF(AND(D104="",G104&lt;&gt;""),"no dates - assumed 1 night",IF(Q104="","",IF(Q104&gt;1.5,"check: markup &gt;150%",IF(Q104&lt;0,"below cost",""))))</f>
        <v/>
      </c>
    </row>
    <row r="105" customFormat="false" ht="15" hidden="false" customHeight="false" outlineLevel="0" collapsed="false">
      <c r="A105" s="9" t="s">
        <v>9</v>
      </c>
      <c r="B105" s="9" t="s">
        <v>77</v>
      </c>
      <c r="C105" s="9" t="s">
        <v>50</v>
      </c>
      <c r="D105" s="10" t="s">
        <v>51</v>
      </c>
      <c r="E105" s="10" t="s">
        <v>52</v>
      </c>
      <c r="F105" s="9" t="n">
        <f aca="false">IF(OR(D105="",E105=""),1,MAX(1,DATEVALUE(E105)-DATEVALUE(D105)))</f>
        <v>3</v>
      </c>
      <c r="G105" s="11"/>
      <c r="H105" s="11" t="n">
        <v>116820</v>
      </c>
      <c r="I105" s="11"/>
      <c r="J105" s="11"/>
      <c r="K105" s="11"/>
      <c r="L105" s="12"/>
      <c r="M105" s="13"/>
      <c r="N105" s="14" t="str">
        <f aca="false">IF(G105="","",G105/F105)</f>
        <v/>
      </c>
      <c r="O105" s="14" t="n">
        <f aca="false">IF(COUNT(H105:K105)=0,"",MIN(H105:K105)/F105)</f>
        <v>38940</v>
      </c>
      <c r="P105" s="14" t="str">
        <f aca="false">IF(L105="","",L105*95/F105)</f>
        <v/>
      </c>
      <c r="Q105" s="15" t="str">
        <f aca="false">IF(OR(N105="",O105=""),"",(IF(AND(N105&gt;7500,O105&gt;7500),O105/(1+IF(O105&lt;=1000,0,IF(O105&lt;=7500,0.05,0.18)))-IF(AND(N105&gt;7500,O105&gt;7500),N105/1.18,N105),(O105-IF(AND(N105&gt;7500,O105&gt;7500),N105/1.18,N105))/(1+IF(O105&lt;=1000,0,IF(O105&lt;=7500,0.05,0.18)))))/(IF(AND(N105&gt;7500,O105&gt;7500),N105/1.18,N105)))</f>
        <v/>
      </c>
      <c r="R105" s="15" t="str">
        <f aca="false">IF(OR(N105="",O105=""),"",((O105-N105)/1.18)/N105)</f>
        <v/>
      </c>
      <c r="S105" s="15" t="str">
        <f aca="false">IF(OR(P105="",O105=""),"",(P105-O105)/O105)</f>
        <v/>
      </c>
      <c r="T105" s="9" t="str">
        <f aca="false">IF(AND(D105="",G105&lt;&gt;""),"no dates - assumed 1 night",IF(Q105="","",IF(Q105&gt;1.5,"check: markup &gt;150%",IF(Q105&lt;0,"below cost",""))))</f>
        <v/>
      </c>
    </row>
    <row r="106" customFormat="false" ht="15" hidden="false" customHeight="false" outlineLevel="0" collapsed="false">
      <c r="A106" s="9" t="s">
        <v>9</v>
      </c>
      <c r="B106" s="9" t="s">
        <v>77</v>
      </c>
      <c r="C106" s="9" t="s">
        <v>54</v>
      </c>
      <c r="D106" s="10" t="s">
        <v>55</v>
      </c>
      <c r="E106" s="10" t="s">
        <v>56</v>
      </c>
      <c r="F106" s="9" t="n">
        <f aca="false">IF(OR(D106="",E106=""),1,MAX(1,DATEVALUE(E106)-DATEVALUE(D106)))</f>
        <v>3</v>
      </c>
      <c r="G106" s="11"/>
      <c r="H106" s="11" t="n">
        <v>97704</v>
      </c>
      <c r="I106" s="11"/>
      <c r="J106" s="11"/>
      <c r="K106" s="11"/>
      <c r="L106" s="12"/>
      <c r="M106" s="13"/>
      <c r="N106" s="14" t="str">
        <f aca="false">IF(G106="","",G106/F106)</f>
        <v/>
      </c>
      <c r="O106" s="14" t="n">
        <f aca="false">IF(COUNT(H106:K106)=0,"",MIN(H106:K106)/F106)</f>
        <v>32568</v>
      </c>
      <c r="P106" s="14" t="str">
        <f aca="false">IF(L106="","",L106*95/F106)</f>
        <v/>
      </c>
      <c r="Q106" s="15" t="str">
        <f aca="false">IF(OR(N106="",O106=""),"",(IF(AND(N106&gt;7500,O106&gt;7500),O106/(1+IF(O106&lt;=1000,0,IF(O106&lt;=7500,0.05,0.18)))-IF(AND(N106&gt;7500,O106&gt;7500),N106/1.18,N106),(O106-IF(AND(N106&gt;7500,O106&gt;7500),N106/1.18,N106))/(1+IF(O106&lt;=1000,0,IF(O106&lt;=7500,0.05,0.18)))))/(IF(AND(N106&gt;7500,O106&gt;7500),N106/1.18,N106)))</f>
        <v/>
      </c>
      <c r="R106" s="15" t="str">
        <f aca="false">IF(OR(N106="",O106=""),"",((O106-N106)/1.18)/N106)</f>
        <v/>
      </c>
      <c r="S106" s="15" t="str">
        <f aca="false">IF(OR(P106="",O106=""),"",(P106-O106)/O106)</f>
        <v/>
      </c>
      <c r="T106" s="9" t="str">
        <f aca="false">IF(AND(D106="",G106&lt;&gt;""),"no dates - assumed 1 night",IF(Q106="","",IF(Q106&gt;1.5,"check: markup &gt;150%",IF(Q106&lt;0,"below cost",""))))</f>
        <v/>
      </c>
    </row>
    <row r="107" customFormat="false" ht="15" hidden="false" customHeight="false" outlineLevel="0" collapsed="false">
      <c r="A107" s="9" t="s">
        <v>9</v>
      </c>
      <c r="B107" s="9" t="s">
        <v>78</v>
      </c>
      <c r="C107" s="9" t="s">
        <v>41</v>
      </c>
      <c r="D107" s="10" t="s">
        <v>42</v>
      </c>
      <c r="E107" s="10" t="s">
        <v>43</v>
      </c>
      <c r="F107" s="9" t="n">
        <f aca="false">IF(OR(D107="",E107=""),1,MAX(1,DATEVALUE(E107)-DATEVALUE(D107)))</f>
        <v>3</v>
      </c>
      <c r="G107" s="11" t="n">
        <v>18673</v>
      </c>
      <c r="H107" s="11" t="n">
        <v>24754</v>
      </c>
      <c r="I107" s="11"/>
      <c r="J107" s="11"/>
      <c r="K107" s="11"/>
      <c r="L107" s="12" t="n">
        <v>204.42</v>
      </c>
      <c r="M107" s="13" t="n">
        <v>0.12</v>
      </c>
      <c r="N107" s="14" t="n">
        <f aca="false">IF(G107="","",G107/F107)</f>
        <v>6224.33333333333</v>
      </c>
      <c r="O107" s="14" t="n">
        <f aca="false">IF(COUNT(H107:K107)=0,"",MIN(H107:K107)/F107)</f>
        <v>8251.33333333333</v>
      </c>
      <c r="P107" s="14" t="n">
        <f aca="false">IF(L107="","",L107*95/F107)</f>
        <v>6473.3</v>
      </c>
      <c r="Q107" s="15" t="n">
        <f aca="false">IF(OR(N107="",O107=""),"",(IF(AND(N107&gt;7500,O107&gt;7500),O107/(1+IF(O107&lt;=1000,0,IF(O107&lt;=7500,0.05,0.18)))-IF(AND(N107&gt;7500,O107&gt;7500),N107/1.18,N107),(O107-IF(AND(N107&gt;7500,O107&gt;7500),N107/1.18,N107))/(1+IF(O107&lt;=1000,0,IF(O107&lt;=7500,0.05,0.18)))))/(IF(AND(N107&gt;7500,O107&gt;7500),N107/1.18,N107)))</f>
        <v>0.275980818856556</v>
      </c>
      <c r="R107" s="15" t="n">
        <f aca="false">IF(OR(N107="",O107=""),"",((O107-N107)/1.18)/N107)</f>
        <v>0.275980818856556</v>
      </c>
      <c r="S107" s="15" t="n">
        <f aca="false">IF(OR(P107="",O107=""),"",(P107-O107)/O107)</f>
        <v>-0.215484366163045</v>
      </c>
      <c r="T107" s="9" t="str">
        <f aca="false">IF(AND(D107="",G107&lt;&gt;""),"no dates - assumed 1 night",IF(Q107="","",IF(Q107&gt;1.5,"check: markup &gt;150%",IF(Q107&lt;0,"below cost",""))))</f>
        <v/>
      </c>
    </row>
    <row r="108" customFormat="false" ht="15" hidden="false" customHeight="false" outlineLevel="0" collapsed="false">
      <c r="A108" s="9" t="s">
        <v>9</v>
      </c>
      <c r="B108" s="9" t="s">
        <v>78</v>
      </c>
      <c r="C108" s="9" t="s">
        <v>44</v>
      </c>
      <c r="D108" s="10" t="s">
        <v>45</v>
      </c>
      <c r="E108" s="10" t="s">
        <v>46</v>
      </c>
      <c r="F108" s="9" t="n">
        <f aca="false">IF(OR(D108="",E108=""),1,MAX(1,DATEVALUE(E108)-DATEVALUE(D108)))</f>
        <v>3</v>
      </c>
      <c r="G108" s="11" t="n">
        <v>19031</v>
      </c>
      <c r="H108" s="11" t="n">
        <v>24754</v>
      </c>
      <c r="I108" s="11"/>
      <c r="J108" s="11"/>
      <c r="K108" s="11"/>
      <c r="L108" s="12" t="n">
        <v>248.38</v>
      </c>
      <c r="M108" s="13" t="n">
        <v>0.18</v>
      </c>
      <c r="N108" s="14" t="n">
        <f aca="false">IF(G108="","",G108/F108)</f>
        <v>6343.66666666667</v>
      </c>
      <c r="O108" s="14" t="n">
        <f aca="false">IF(COUNT(H108:K108)=0,"",MIN(H108:K108)/F108)</f>
        <v>8251.33333333333</v>
      </c>
      <c r="P108" s="14" t="n">
        <f aca="false">IF(L108="","",L108*95/F108)</f>
        <v>7865.36666666667</v>
      </c>
      <c r="Q108" s="15" t="n">
        <f aca="false">IF(OR(N108="",O108=""),"",(IF(AND(N108&gt;7500,O108&gt;7500),O108/(1+IF(O108&lt;=1000,0,IF(O108&lt;=7500,0.05,0.18)))-IF(AND(N108&gt;7500,O108&gt;7500),N108/1.18,N108),(O108-IF(AND(N108&gt;7500,O108&gt;7500),N108/1.18,N108))/(1+IF(O108&lt;=1000,0,IF(O108&lt;=7500,0.05,0.18)))))/(IF(AND(N108&gt;7500,O108&gt;7500),N108/1.18,N108)))</f>
        <v>0.254847354316641</v>
      </c>
      <c r="R108" s="15" t="n">
        <f aca="false">IF(OR(N108="",O108=""),"",((O108-N108)/1.18)/N108)</f>
        <v>0.254847354316641</v>
      </c>
      <c r="S108" s="15" t="n">
        <f aca="false">IF(OR(P108="",O108=""),"",(P108-O108)/O108)</f>
        <v>-0.0467762785812396</v>
      </c>
      <c r="T108" s="9" t="str">
        <f aca="false">IF(AND(D108="",G108&lt;&gt;""),"no dates - assumed 1 night",IF(Q108="","",IF(Q108&gt;1.5,"check: markup &gt;150%",IF(Q108&lt;0,"below cost",""))))</f>
        <v/>
      </c>
    </row>
    <row r="109" customFormat="false" ht="15" hidden="false" customHeight="false" outlineLevel="0" collapsed="false">
      <c r="A109" s="9" t="s">
        <v>9</v>
      </c>
      <c r="B109" s="9" t="s">
        <v>78</v>
      </c>
      <c r="C109" s="9" t="s">
        <v>47</v>
      </c>
      <c r="D109" s="10" t="s">
        <v>48</v>
      </c>
      <c r="E109" s="10" t="s">
        <v>49</v>
      </c>
      <c r="F109" s="9" t="n">
        <f aca="false">IF(OR(D109="",E109=""),1,MAX(1,DATEVALUE(E109)-DATEVALUE(D109)))</f>
        <v>3</v>
      </c>
      <c r="G109" s="11" t="n">
        <v>40983</v>
      </c>
      <c r="H109" s="11" t="n">
        <v>49909</v>
      </c>
      <c r="I109" s="11"/>
      <c r="J109" s="11"/>
      <c r="K109" s="11"/>
      <c r="L109" s="12" t="n">
        <v>505.4</v>
      </c>
      <c r="M109" s="13" t="n">
        <v>0.18</v>
      </c>
      <c r="N109" s="14" t="n">
        <f aca="false">IF(G109="","",G109/F109)</f>
        <v>13661</v>
      </c>
      <c r="O109" s="14" t="n">
        <f aca="false">IF(COUNT(H109:K109)=0,"",MIN(H109:K109)/F109)</f>
        <v>16636.3333333333</v>
      </c>
      <c r="P109" s="14" t="n">
        <f aca="false">IF(L109="","",L109*95/F109)</f>
        <v>16004.3333333333</v>
      </c>
      <c r="Q109" s="15" t="n">
        <f aca="false">IF(OR(N109="",O109=""),"",(IF(AND(N109&gt;7500,O109&gt;7500),O109/(1+IF(O109&lt;=1000,0,IF(O109&lt;=7500,0.05,0.18)))-IF(AND(N109&gt;7500,O109&gt;7500),N109/1.18,N109),(O109-IF(AND(N109&gt;7500,O109&gt;7500),N109/1.18,N109))/(1+IF(O109&lt;=1000,0,IF(O109&lt;=7500,0.05,0.18)))))/(IF(AND(N109&gt;7500,O109&gt;7500),N109/1.18,N109)))</f>
        <v>0.217797623404826</v>
      </c>
      <c r="R109" s="15" t="n">
        <f aca="false">IF(OR(N109="",O109=""),"",((O109-N109)/1.18)/N109)</f>
        <v>0.184574257122734</v>
      </c>
      <c r="S109" s="15" t="n">
        <f aca="false">IF(OR(P109="",O109=""),"",(P109-O109)/O109)</f>
        <v>-0.037989140235228</v>
      </c>
      <c r="T109" s="9" t="str">
        <f aca="false">IF(AND(D109="",G109&lt;&gt;""),"no dates - assumed 1 night",IF(Q109="","",IF(Q109&gt;1.5,"check: markup &gt;150%",IF(Q109&lt;0,"below cost",""))))</f>
        <v/>
      </c>
    </row>
    <row r="110" customFormat="false" ht="15" hidden="false" customHeight="false" outlineLevel="0" collapsed="false">
      <c r="A110" s="9" t="s">
        <v>9</v>
      </c>
      <c r="B110" s="9" t="s">
        <v>78</v>
      </c>
      <c r="C110" s="9" t="s">
        <v>50</v>
      </c>
      <c r="D110" s="10" t="s">
        <v>51</v>
      </c>
      <c r="E110" s="10" t="s">
        <v>52</v>
      </c>
      <c r="F110" s="9" t="n">
        <f aca="false">IF(OR(D110="",E110=""),1,MAX(1,DATEVALUE(E110)-DATEVALUE(D110)))</f>
        <v>3</v>
      </c>
      <c r="G110" s="11" t="n">
        <v>25314</v>
      </c>
      <c r="H110" s="11" t="n">
        <v>32978</v>
      </c>
      <c r="I110" s="11"/>
      <c r="J110" s="11"/>
      <c r="K110" s="11"/>
      <c r="L110" s="12" t="n">
        <v>347.5</v>
      </c>
      <c r="M110" s="13" t="n">
        <v>0.2</v>
      </c>
      <c r="N110" s="14" t="n">
        <f aca="false">IF(G110="","",G110/F110)</f>
        <v>8438</v>
      </c>
      <c r="O110" s="14" t="n">
        <f aca="false">IF(COUNT(H110:K110)=0,"",MIN(H110:K110)/F110)</f>
        <v>10992.6666666667</v>
      </c>
      <c r="P110" s="14" t="n">
        <f aca="false">IF(L110="","",L110*95/F110)</f>
        <v>11004.1666666667</v>
      </c>
      <c r="Q110" s="15" t="n">
        <f aca="false">IF(OR(N110="",O110=""),"",(IF(AND(N110&gt;7500,O110&gt;7500),O110/(1+IF(O110&lt;=1000,0,IF(O110&lt;=7500,0.05,0.18)))-IF(AND(N110&gt;7500,O110&gt;7500),N110/1.18,N110),(O110-IF(AND(N110&gt;7500,O110&gt;7500),N110/1.18,N110))/(1+IF(O110&lt;=1000,0,IF(O110&lt;=7500,0.05,0.18)))))/(IF(AND(N110&gt;7500,O110&gt;7500),N110/1.18,N110)))</f>
        <v>0.302757367464644</v>
      </c>
      <c r="R110" s="15" t="n">
        <f aca="false">IF(OR(N110="",O110=""),"",((O110-N110)/1.18)/N110)</f>
        <v>0.256574040224275</v>
      </c>
      <c r="S110" s="15" t="n">
        <f aca="false">IF(OR(P110="",O110=""),"",(P110-O110)/O110)</f>
        <v>0.00104615198010795</v>
      </c>
      <c r="T110" s="9" t="str">
        <f aca="false">IF(AND(D110="",G110&lt;&gt;""),"no dates - assumed 1 night",IF(Q110="","",IF(Q110&gt;1.5,"check: markup &gt;150%",IF(Q110&lt;0,"below cost",""))))</f>
        <v/>
      </c>
    </row>
    <row r="111" customFormat="false" ht="15" hidden="false" customHeight="false" outlineLevel="0" collapsed="false">
      <c r="A111" s="9" t="s">
        <v>9</v>
      </c>
      <c r="B111" s="9" t="s">
        <v>79</v>
      </c>
      <c r="C111" s="9" t="s">
        <v>41</v>
      </c>
      <c r="D111" s="10" t="s">
        <v>42</v>
      </c>
      <c r="E111" s="10" t="s">
        <v>43</v>
      </c>
      <c r="F111" s="9" t="n">
        <f aca="false">IF(OR(D111="",E111=""),1,MAX(1,DATEVALUE(E111)-DATEVALUE(D111)))</f>
        <v>3</v>
      </c>
      <c r="G111" s="11" t="n">
        <v>33685</v>
      </c>
      <c r="H111" s="11" t="n">
        <v>35834</v>
      </c>
      <c r="I111" s="11"/>
      <c r="J111" s="11"/>
      <c r="K111" s="11"/>
      <c r="L111" s="12"/>
      <c r="M111" s="13"/>
      <c r="N111" s="14" t="n">
        <f aca="false">IF(G111="","",G111/F111)</f>
        <v>11228.3333333333</v>
      </c>
      <c r="O111" s="14" t="n">
        <f aca="false">IF(COUNT(H111:K111)=0,"",MIN(H111:K111)/F111)</f>
        <v>11944.6666666667</v>
      </c>
      <c r="P111" s="14" t="str">
        <f aca="false">IF(L111="","",L111*95/F111)</f>
        <v/>
      </c>
      <c r="Q111" s="15" t="n">
        <f aca="false">IF(OR(N111="",O111=""),"",(IF(AND(N111&gt;7500,O111&gt;7500),O111/(1+IF(O111&lt;=1000,0,IF(O111&lt;=7500,0.05,0.18)))-IF(AND(N111&gt;7500,O111&gt;7500),N111/1.18,N111),(O111-IF(AND(N111&gt;7500,O111&gt;7500),N111/1.18,N111))/(1+IF(O111&lt;=1000,0,IF(O111&lt;=7500,0.05,0.18)))))/(IF(AND(N111&gt;7500,O111&gt;7500),N111/1.18,N111)))</f>
        <v>0.0637969422591657</v>
      </c>
      <c r="R111" s="15" t="n">
        <f aca="false">IF(OR(N111="",O111=""),"",((O111-N111)/1.18)/N111)</f>
        <v>0.0540652053043777</v>
      </c>
      <c r="S111" s="15" t="str">
        <f aca="false">IF(OR(P111="",O111=""),"",(P111-O111)/O111)</f>
        <v/>
      </c>
      <c r="T111" s="9" t="str">
        <f aca="false">IF(AND(D111="",G111&lt;&gt;""),"no dates - assumed 1 night",IF(Q111="","",IF(Q111&gt;1.5,"check: markup &gt;150%",IF(Q111&lt;0,"below cost",""))))</f>
        <v/>
      </c>
    </row>
    <row r="112" customFormat="false" ht="15" hidden="false" customHeight="false" outlineLevel="0" collapsed="false">
      <c r="A112" s="9" t="s">
        <v>9</v>
      </c>
      <c r="B112" s="9" t="s">
        <v>79</v>
      </c>
      <c r="C112" s="9" t="s">
        <v>44</v>
      </c>
      <c r="D112" s="10" t="s">
        <v>45</v>
      </c>
      <c r="E112" s="10" t="s">
        <v>46</v>
      </c>
      <c r="F112" s="9" t="n">
        <f aca="false">IF(OR(D112="",E112=""),1,MAX(1,DATEVALUE(E112)-DATEVALUE(D112)))</f>
        <v>3</v>
      </c>
      <c r="G112" s="11" t="n">
        <v>21682</v>
      </c>
      <c r="H112" s="11" t="n">
        <v>22466</v>
      </c>
      <c r="I112" s="11"/>
      <c r="J112" s="11"/>
      <c r="K112" s="11"/>
      <c r="L112" s="12"/>
      <c r="M112" s="13"/>
      <c r="N112" s="14" t="n">
        <f aca="false">IF(G112="","",G112/F112)</f>
        <v>7227.33333333333</v>
      </c>
      <c r="O112" s="14" t="n">
        <f aca="false">IF(COUNT(H112:K112)=0,"",MIN(H112:K112)/F112)</f>
        <v>7488.66666666667</v>
      </c>
      <c r="P112" s="14" t="str">
        <f aca="false">IF(L112="","",L112*95/F112)</f>
        <v/>
      </c>
      <c r="Q112" s="15" t="n">
        <f aca="false">IF(OR(N112="",O112=""),"",(IF(AND(N112&gt;7500,O112&gt;7500),O112/(1+IF(O112&lt;=1000,0,IF(O112&lt;=7500,0.05,0.18)))-IF(AND(N112&gt;7500,O112&gt;7500),N112/1.18,N112),(O112-IF(AND(N112&gt;7500,O112&gt;7500),N112/1.18,N112))/(1+IF(O112&lt;=1000,0,IF(O112&lt;=7500,0.05,0.18)))))/(IF(AND(N112&gt;7500,O112&gt;7500),N112/1.18,N112)))</f>
        <v>0.0344371675429697</v>
      </c>
      <c r="R112" s="15" t="n">
        <f aca="false">IF(OR(N112="",O112=""),"",((O112-N112)/1.18)/N112)</f>
        <v>0.0306432423051849</v>
      </c>
      <c r="S112" s="15" t="str">
        <f aca="false">IF(OR(P112="",O112=""),"",(P112-O112)/O112)</f>
        <v/>
      </c>
      <c r="T112" s="9" t="str">
        <f aca="false">IF(AND(D112="",G112&lt;&gt;""),"no dates - assumed 1 night",IF(Q112="","",IF(Q112&gt;1.5,"check: markup &gt;150%",IF(Q112&lt;0,"below cost",""))))</f>
        <v/>
      </c>
    </row>
    <row r="113" customFormat="false" ht="15" hidden="false" customHeight="false" outlineLevel="0" collapsed="false">
      <c r="A113" s="9" t="s">
        <v>9</v>
      </c>
      <c r="B113" s="9" t="s">
        <v>79</v>
      </c>
      <c r="C113" s="9" t="s">
        <v>47</v>
      </c>
      <c r="D113" s="10" t="s">
        <v>48</v>
      </c>
      <c r="E113" s="10" t="s">
        <v>49</v>
      </c>
      <c r="F113" s="9" t="n">
        <f aca="false">IF(OR(D113="",E113=""),1,MAX(1,DATEVALUE(E113)-DATEVALUE(D113)))</f>
        <v>3</v>
      </c>
      <c r="G113" s="11" t="n">
        <v>39336</v>
      </c>
      <c r="H113" s="11" t="n">
        <v>52870</v>
      </c>
      <c r="I113" s="11"/>
      <c r="J113" s="11"/>
      <c r="K113" s="11"/>
      <c r="L113" s="12"/>
      <c r="M113" s="13"/>
      <c r="N113" s="14" t="n">
        <f aca="false">IF(G113="","",G113/F113)</f>
        <v>13112</v>
      </c>
      <c r="O113" s="14" t="n">
        <f aca="false">IF(COUNT(H113:K113)=0,"",MIN(H113:K113)/F113)</f>
        <v>17623.3333333333</v>
      </c>
      <c r="P113" s="14" t="str">
        <f aca="false">IF(L113="","",L113*95/F113)</f>
        <v/>
      </c>
      <c r="Q113" s="15" t="n">
        <f aca="false">IF(OR(N113="",O113=""),"",(IF(AND(N113&gt;7500,O113&gt;7500),O113/(1+IF(O113&lt;=1000,0,IF(O113&lt;=7500,0.05,0.18)))-IF(AND(N113&gt;7500,O113&gt;7500),N113/1.18,N113),(O113-IF(AND(N113&gt;7500,O113&gt;7500),N113/1.18,N113))/(1+IF(O113&lt;=1000,0,IF(O113&lt;=7500,0.05,0.18)))))/(IF(AND(N113&gt;7500,O113&gt;7500),N113/1.18,N113)))</f>
        <v>0.344061419564775</v>
      </c>
      <c r="R113" s="15" t="n">
        <f aca="false">IF(OR(N113="",O113=""),"",((O113-N113)/1.18)/N113)</f>
        <v>0.291577474207437</v>
      </c>
      <c r="S113" s="15" t="str">
        <f aca="false">IF(OR(P113="",O113=""),"",(P113-O113)/O113)</f>
        <v/>
      </c>
      <c r="T113" s="9" t="str">
        <f aca="false">IF(AND(D113="",G113&lt;&gt;""),"no dates - assumed 1 night",IF(Q113="","",IF(Q113&gt;1.5,"check: markup &gt;150%",IF(Q113&lt;0,"below cost",""))))</f>
        <v/>
      </c>
    </row>
    <row r="114" customFormat="false" ht="15" hidden="false" customHeight="false" outlineLevel="0" collapsed="false">
      <c r="A114" s="9" t="s">
        <v>9</v>
      </c>
      <c r="B114" s="9" t="s">
        <v>79</v>
      </c>
      <c r="C114" s="9" t="s">
        <v>50</v>
      </c>
      <c r="D114" s="10" t="s">
        <v>51</v>
      </c>
      <c r="E114" s="10" t="s">
        <v>52</v>
      </c>
      <c r="F114" s="9" t="n">
        <f aca="false">IF(OR(D114="",E114=""),1,MAX(1,DATEVALUE(E114)-DATEVALUE(D114)))</f>
        <v>3</v>
      </c>
      <c r="G114" s="11" t="n">
        <v>56560</v>
      </c>
      <c r="H114" s="11" t="n">
        <v>65911</v>
      </c>
      <c r="I114" s="11"/>
      <c r="J114" s="11"/>
      <c r="K114" s="11"/>
      <c r="L114" s="12"/>
      <c r="M114" s="13"/>
      <c r="N114" s="14" t="n">
        <f aca="false">IF(G114="","",G114/F114)</f>
        <v>18853.3333333333</v>
      </c>
      <c r="O114" s="14" t="n">
        <f aca="false">IF(COUNT(H114:K114)=0,"",MIN(H114:K114)/F114)</f>
        <v>21970.3333333333</v>
      </c>
      <c r="P114" s="14" t="str">
        <f aca="false">IF(L114="","",L114*95/F114)</f>
        <v/>
      </c>
      <c r="Q114" s="15" t="n">
        <f aca="false">IF(OR(N114="",O114=""),"",(IF(AND(N114&gt;7500,O114&gt;7500),O114/(1+IF(O114&lt;=1000,0,IF(O114&lt;=7500,0.05,0.18)))-IF(AND(N114&gt;7500,O114&gt;7500),N114/1.18,N114),(O114-IF(AND(N114&gt;7500,O114&gt;7500),N114/1.18,N114))/(1+IF(O114&lt;=1000,0,IF(O114&lt;=7500,0.05,0.18)))))/(IF(AND(N114&gt;7500,O114&gt;7500),N114/1.18,N114)))</f>
        <v>0.165328854314003</v>
      </c>
      <c r="R114" s="15" t="n">
        <f aca="false">IF(OR(N114="",O114=""),"",((O114-N114)/1.18)/N114)</f>
        <v>0.140109198571189</v>
      </c>
      <c r="S114" s="15" t="str">
        <f aca="false">IF(OR(P114="",O114=""),"",(P114-O114)/O114)</f>
        <v/>
      </c>
      <c r="T114" s="9" t="str">
        <f aca="false">IF(AND(D114="",G114&lt;&gt;""),"no dates - assumed 1 night",IF(Q114="","",IF(Q114&gt;1.5,"check: markup &gt;150%",IF(Q114&lt;0,"below cost",""))))</f>
        <v/>
      </c>
    </row>
    <row r="115" customFormat="false" ht="15" hidden="false" customHeight="false" outlineLevel="0" collapsed="false">
      <c r="A115" s="9" t="s">
        <v>9</v>
      </c>
      <c r="B115" s="9" t="s">
        <v>79</v>
      </c>
      <c r="C115" s="9" t="s">
        <v>54</v>
      </c>
      <c r="D115" s="10" t="s">
        <v>55</v>
      </c>
      <c r="E115" s="10" t="s">
        <v>56</v>
      </c>
      <c r="F115" s="9" t="n">
        <f aca="false">IF(OR(D115="",E115=""),1,MAX(1,DATEVALUE(E115)-DATEVALUE(D115)))</f>
        <v>3</v>
      </c>
      <c r="G115" s="11" t="n">
        <v>32363</v>
      </c>
      <c r="H115" s="11" t="n">
        <v>37714</v>
      </c>
      <c r="I115" s="11"/>
      <c r="J115" s="11"/>
      <c r="K115" s="11"/>
      <c r="L115" s="12"/>
      <c r="M115" s="13"/>
      <c r="N115" s="14" t="n">
        <f aca="false">IF(G115="","",G115/F115)</f>
        <v>10787.6666666667</v>
      </c>
      <c r="O115" s="14" t="n">
        <f aca="false">IF(COUNT(H115:K115)=0,"",MIN(H115:K115)/F115)</f>
        <v>12571.3333333333</v>
      </c>
      <c r="P115" s="14" t="str">
        <f aca="false">IF(L115="","",L115*95/F115)</f>
        <v/>
      </c>
      <c r="Q115" s="15" t="n">
        <f aca="false">IF(OR(N115="",O115=""),"",(IF(AND(N115&gt;7500,O115&gt;7500),O115/(1+IF(O115&lt;=1000,0,IF(O115&lt;=7500,0.05,0.18)))-IF(AND(N115&gt;7500,O115&gt;7500),N115/1.18,N115),(O115-IF(AND(N115&gt;7500,O115&gt;7500),N115/1.18,N115))/(1+IF(O115&lt;=1000,0,IF(O115&lt;=7500,0.05,0.18)))))/(IF(AND(N115&gt;7500,O115&gt;7500),N115/1.18,N115)))</f>
        <v>0.165343138769583</v>
      </c>
      <c r="R115" s="15" t="n">
        <f aca="false">IF(OR(N115="",O115=""),"",((O115-N115)/1.18)/N115)</f>
        <v>0.140121304042019</v>
      </c>
      <c r="S115" s="15" t="str">
        <f aca="false">IF(OR(P115="",O115=""),"",(P115-O115)/O115)</f>
        <v/>
      </c>
      <c r="T115" s="9" t="str">
        <f aca="false">IF(AND(D115="",G115&lt;&gt;""),"no dates - assumed 1 night",IF(Q115="","",IF(Q115&gt;1.5,"check: markup &gt;150%",IF(Q115&lt;0,"below cost",""))))</f>
        <v/>
      </c>
    </row>
    <row r="116" customFormat="false" ht="15" hidden="false" customHeight="false" outlineLevel="0" collapsed="false">
      <c r="A116" s="9" t="s">
        <v>9</v>
      </c>
      <c r="B116" s="9" t="s">
        <v>80</v>
      </c>
      <c r="C116" s="9" t="s">
        <v>41</v>
      </c>
      <c r="D116" s="10" t="s">
        <v>42</v>
      </c>
      <c r="E116" s="10" t="s">
        <v>43</v>
      </c>
      <c r="F116" s="9" t="n">
        <f aca="false">IF(OR(D116="",E116=""),1,MAX(1,DATEVALUE(E116)-DATEVALUE(D116)))</f>
        <v>3</v>
      </c>
      <c r="G116" s="11" t="n">
        <v>12929</v>
      </c>
      <c r="H116" s="11" t="n">
        <v>15964</v>
      </c>
      <c r="I116" s="11"/>
      <c r="J116" s="11"/>
      <c r="K116" s="11"/>
      <c r="L116" s="12" t="n">
        <v>159.77</v>
      </c>
      <c r="M116" s="13" t="n">
        <v>0.13</v>
      </c>
      <c r="N116" s="14" t="n">
        <f aca="false">IF(G116="","",G116/F116)</f>
        <v>4309.66666666667</v>
      </c>
      <c r="O116" s="14" t="n">
        <f aca="false">IF(COUNT(H116:K116)=0,"",MIN(H116:K116)/F116)</f>
        <v>5321.33333333333</v>
      </c>
      <c r="P116" s="14" t="n">
        <f aca="false">IF(L116="","",L116*95/F116)</f>
        <v>5059.38333333333</v>
      </c>
      <c r="Q116" s="15" t="n">
        <f aca="false">IF(OR(N116="",O116=""),"",(IF(AND(N116&gt;7500,O116&gt;7500),O116/(1+IF(O116&lt;=1000,0,IF(O116&lt;=7500,0.05,0.18)))-IF(AND(N116&gt;7500,O116&gt;7500),N116/1.18,N116),(O116-IF(AND(N116&gt;7500,O116&gt;7500),N116/1.18,N116))/(1+IF(O116&lt;=1000,0,IF(O116&lt;=7500,0.05,0.18)))))/(IF(AND(N116&gt;7500,O116&gt;7500),N116/1.18,N116)))</f>
        <v>0.223565333009219</v>
      </c>
      <c r="R116" s="15" t="n">
        <f aca="false">IF(OR(N116="",O116=""),"",((O116-N116)/1.18)/N116)</f>
        <v>0.198935253948881</v>
      </c>
      <c r="S116" s="15" t="n">
        <f aca="false">IF(OR(P116="",O116=""),"",(P116-O116)/O116)</f>
        <v>-0.0492263843648206</v>
      </c>
      <c r="T116" s="9" t="str">
        <f aca="false">IF(AND(D116="",G116&lt;&gt;""),"no dates - assumed 1 night",IF(Q116="","",IF(Q116&gt;1.5,"check: markup &gt;150%",IF(Q116&lt;0,"below cost",""))))</f>
        <v/>
      </c>
    </row>
    <row r="117" customFormat="false" ht="15" hidden="false" customHeight="false" outlineLevel="0" collapsed="false">
      <c r="A117" s="9" t="s">
        <v>9</v>
      </c>
      <c r="B117" s="9" t="s">
        <v>80</v>
      </c>
      <c r="C117" s="9" t="s">
        <v>44</v>
      </c>
      <c r="D117" s="10" t="s">
        <v>45</v>
      </c>
      <c r="E117" s="10" t="s">
        <v>46</v>
      </c>
      <c r="F117" s="9" t="n">
        <f aca="false">IF(OR(D117="",E117=""),1,MAX(1,DATEVALUE(E117)-DATEVALUE(D117)))</f>
        <v>3</v>
      </c>
      <c r="G117" s="11" t="n">
        <v>12861</v>
      </c>
      <c r="H117" s="11" t="n">
        <v>14040</v>
      </c>
      <c r="I117" s="11"/>
      <c r="J117" s="11"/>
      <c r="K117" s="11"/>
      <c r="L117" s="12" t="n">
        <v>154.22</v>
      </c>
      <c r="M117" s="13" t="n">
        <v>0.12</v>
      </c>
      <c r="N117" s="14" t="n">
        <f aca="false">IF(G117="","",G117/F117)</f>
        <v>4287</v>
      </c>
      <c r="O117" s="14" t="n">
        <f aca="false">IF(COUNT(H117:K117)=0,"",MIN(H117:K117)/F117)</f>
        <v>4680</v>
      </c>
      <c r="P117" s="14" t="n">
        <f aca="false">IF(L117="","",L117*95/F117)</f>
        <v>4883.63333333333</v>
      </c>
      <c r="Q117" s="15" t="n">
        <f aca="false">IF(OR(N117="",O117=""),"",(IF(AND(N117&gt;7500,O117&gt;7500),O117/(1+IF(O117&lt;=1000,0,IF(O117&lt;=7500,0.05,0.18)))-IF(AND(N117&gt;7500,O117&gt;7500),N117/1.18,N117),(O117-IF(AND(N117&gt;7500,O117&gt;7500),N117/1.18,N117))/(1+IF(O117&lt;=1000,0,IF(O117&lt;=7500,0.05,0.18)))))/(IF(AND(N117&gt;7500,O117&gt;7500),N117/1.18,N117)))</f>
        <v>0.0873071411909761</v>
      </c>
      <c r="R117" s="15" t="n">
        <f aca="false">IF(OR(N117="",O117=""),"",((O117-N117)/1.18)/N117)</f>
        <v>0.0776885578394278</v>
      </c>
      <c r="S117" s="15" t="n">
        <f aca="false">IF(OR(P117="",O117=""),"",(P117-O117)/O117)</f>
        <v>0.043511396011396</v>
      </c>
      <c r="T117" s="9" t="str">
        <f aca="false">IF(AND(D117="",G117&lt;&gt;""),"no dates - assumed 1 night",IF(Q117="","",IF(Q117&gt;1.5,"check: markup &gt;150%",IF(Q117&lt;0,"below cost",""))))</f>
        <v/>
      </c>
    </row>
    <row r="118" customFormat="false" ht="15" hidden="false" customHeight="false" outlineLevel="0" collapsed="false">
      <c r="A118" s="9" t="s">
        <v>9</v>
      </c>
      <c r="B118" s="9" t="s">
        <v>80</v>
      </c>
      <c r="C118" s="9" t="s">
        <v>47</v>
      </c>
      <c r="D118" s="10" t="s">
        <v>48</v>
      </c>
      <c r="E118" s="10" t="s">
        <v>49</v>
      </c>
      <c r="F118" s="9" t="n">
        <f aca="false">IF(OR(D118="",E118=""),1,MAX(1,DATEVALUE(E118)-DATEVALUE(D118)))</f>
        <v>3</v>
      </c>
      <c r="G118" s="11" t="n">
        <v>16299</v>
      </c>
      <c r="H118" s="11" t="n">
        <v>18683</v>
      </c>
      <c r="I118" s="11"/>
      <c r="J118" s="11"/>
      <c r="K118" s="11"/>
      <c r="L118" s="12" t="n">
        <v>335.72</v>
      </c>
      <c r="M118" s="13" t="n">
        <v>0.12</v>
      </c>
      <c r="N118" s="14" t="n">
        <f aca="false">IF(G118="","",G118/F118)</f>
        <v>5433</v>
      </c>
      <c r="O118" s="14" t="n">
        <f aca="false">IF(COUNT(H118:K118)=0,"",MIN(H118:K118)/F118)</f>
        <v>6227.66666666667</v>
      </c>
      <c r="P118" s="14" t="n">
        <f aca="false">IF(L118="","",L118*95/F118)</f>
        <v>10631.1333333333</v>
      </c>
      <c r="Q118" s="15" t="n">
        <f aca="false">IF(OR(N118="",O118=""),"",(IF(AND(N118&gt;7500,O118&gt;7500),O118/(1+IF(O118&lt;=1000,0,IF(O118&lt;=7500,0.05,0.18)))-IF(AND(N118&gt;7500,O118&gt;7500),N118/1.18,N118),(O118-IF(AND(N118&gt;7500,O118&gt;7500),N118/1.18,N118))/(1+IF(O118&lt;=1000,0,IF(O118&lt;=7500,0.05,0.18)))))/(IF(AND(N118&gt;7500,O118&gt;7500),N118/1.18,N118)))</f>
        <v>0.139301563928842</v>
      </c>
      <c r="R118" s="15" t="n">
        <f aca="false">IF(OR(N118="",O118=""),"",((O118-N118)/1.18)/N118)</f>
        <v>0.123954781462105</v>
      </c>
      <c r="S118" s="15" t="n">
        <f aca="false">IF(OR(P118="",O118=""),"",(P118-O118)/O118)</f>
        <v>0.707081303859123</v>
      </c>
      <c r="T118" s="9" t="str">
        <f aca="false">IF(AND(D118="",G118&lt;&gt;""),"no dates - assumed 1 night",IF(Q118="","",IF(Q118&gt;1.5,"check: markup &gt;150%",IF(Q118&lt;0,"below cost",""))))</f>
        <v/>
      </c>
    </row>
    <row r="119" customFormat="false" ht="15" hidden="false" customHeight="false" outlineLevel="0" collapsed="false">
      <c r="A119" s="9" t="s">
        <v>9</v>
      </c>
      <c r="B119" s="9" t="s">
        <v>80</v>
      </c>
      <c r="C119" s="9" t="s">
        <v>50</v>
      </c>
      <c r="D119" s="10" t="s">
        <v>51</v>
      </c>
      <c r="E119" s="10" t="s">
        <v>52</v>
      </c>
      <c r="F119" s="9" t="n">
        <f aca="false">IF(OR(D119="",E119=""),1,MAX(1,DATEVALUE(E119)-DATEVALUE(D119)))</f>
        <v>3</v>
      </c>
      <c r="G119" s="11" t="n">
        <v>29397</v>
      </c>
      <c r="H119" s="11" t="n">
        <v>32391</v>
      </c>
      <c r="I119" s="11"/>
      <c r="J119" s="11"/>
      <c r="K119" s="11"/>
      <c r="L119" s="12"/>
      <c r="M119" s="13"/>
      <c r="N119" s="14" t="n">
        <f aca="false">IF(G119="","",G119/F119)</f>
        <v>9799</v>
      </c>
      <c r="O119" s="14" t="n">
        <f aca="false">IF(COUNT(H119:K119)=0,"",MIN(H119:K119)/F119)</f>
        <v>10797</v>
      </c>
      <c r="P119" s="14" t="str">
        <f aca="false">IF(L119="","",L119*95/F119)</f>
        <v/>
      </c>
      <c r="Q119" s="15" t="n">
        <f aca="false">IF(OR(N119="",O119=""),"",(IF(AND(N119&gt;7500,O119&gt;7500),O119/(1+IF(O119&lt;=1000,0,IF(O119&lt;=7500,0.05,0.18)))-IF(AND(N119&gt;7500,O119&gt;7500),N119/1.18,N119),(O119-IF(AND(N119&gt;7500,O119&gt;7500),N119/1.18,N119))/(1+IF(O119&lt;=1000,0,IF(O119&lt;=7500,0.05,0.18)))))/(IF(AND(N119&gt;7500,O119&gt;7500),N119/1.18,N119)))</f>
        <v>0.101847127257883</v>
      </c>
      <c r="R119" s="15" t="n">
        <f aca="false">IF(OR(N119="",O119=""),"",((O119-N119)/1.18)/N119)</f>
        <v>0.0863111247948165</v>
      </c>
      <c r="S119" s="15" t="str">
        <f aca="false">IF(OR(P119="",O119=""),"",(P119-O119)/O119)</f>
        <v/>
      </c>
      <c r="T119" s="9" t="str">
        <f aca="false">IF(AND(D119="",G119&lt;&gt;""),"no dates - assumed 1 night",IF(Q119="","",IF(Q119&gt;1.5,"check: markup &gt;150%",IF(Q119&lt;0,"below cost",""))))</f>
        <v/>
      </c>
    </row>
    <row r="120" customFormat="false" ht="15" hidden="false" customHeight="false" outlineLevel="0" collapsed="false">
      <c r="A120" s="9" t="s">
        <v>9</v>
      </c>
      <c r="B120" s="9" t="s">
        <v>80</v>
      </c>
      <c r="C120" s="9" t="s">
        <v>54</v>
      </c>
      <c r="D120" s="10" t="s">
        <v>55</v>
      </c>
      <c r="E120" s="10" t="s">
        <v>56</v>
      </c>
      <c r="F120" s="9" t="n">
        <f aca="false">IF(OR(D120="",E120=""),1,MAX(1,DATEVALUE(E120)-DATEVALUE(D120)))</f>
        <v>3</v>
      </c>
      <c r="G120" s="11" t="n">
        <v>17439</v>
      </c>
      <c r="H120" s="11" t="n">
        <v>19094</v>
      </c>
      <c r="I120" s="11"/>
      <c r="J120" s="11"/>
      <c r="K120" s="11"/>
      <c r="L120" s="12" t="n">
        <v>232.42</v>
      </c>
      <c r="M120" s="13" t="n">
        <v>0.12</v>
      </c>
      <c r="N120" s="14" t="n">
        <f aca="false">IF(G120="","",G120/F120)</f>
        <v>5813</v>
      </c>
      <c r="O120" s="14" t="n">
        <f aca="false">IF(COUNT(H120:K120)=0,"",MIN(H120:K120)/F120)</f>
        <v>6364.66666666667</v>
      </c>
      <c r="P120" s="14" t="n">
        <f aca="false">IF(L120="","",L120*95/F120)</f>
        <v>7359.96666666667</v>
      </c>
      <c r="Q120" s="15" t="n">
        <f aca="false">IF(OR(N120="",O120=""),"",(IF(AND(N120&gt;7500,O120&gt;7500),O120/(1+IF(O120&lt;=1000,0,IF(O120&lt;=7500,0.05,0.18)))-IF(AND(N120&gt;7500,O120&gt;7500),N120/1.18,N120),(O120-IF(AND(N120&gt;7500,O120&gt;7500),N120/1.18,N120))/(1+IF(O120&lt;=1000,0,IF(O120&lt;=7500,0.05,0.18)))))/(IF(AND(N120&gt;7500,O120&gt;7500),N120/1.18,N120)))</f>
        <v>0.090383076792848</v>
      </c>
      <c r="R120" s="15" t="n">
        <f aca="false">IF(OR(N120="",O120=""),"",((O120-N120)/1.18)/N120)</f>
        <v>0.0804256191800767</v>
      </c>
      <c r="S120" s="15" t="n">
        <f aca="false">IF(OR(P120="",O120=""),"",(P120-O120)/O120)</f>
        <v>0.156378967214832</v>
      </c>
      <c r="T120" s="9" t="str">
        <f aca="false">IF(AND(D120="",G120&lt;&gt;""),"no dates - assumed 1 night",IF(Q120="","",IF(Q120&gt;1.5,"check: markup &gt;150%",IF(Q120&lt;0,"below cost",""))))</f>
        <v/>
      </c>
    </row>
    <row r="121" customFormat="false" ht="15" hidden="false" customHeight="false" outlineLevel="0" collapsed="false">
      <c r="A121" s="9" t="s">
        <v>9</v>
      </c>
      <c r="B121" s="9" t="s">
        <v>81</v>
      </c>
      <c r="C121" s="9" t="s">
        <v>41</v>
      </c>
      <c r="D121" s="10" t="s">
        <v>42</v>
      </c>
      <c r="E121" s="10" t="s">
        <v>43</v>
      </c>
      <c r="F121" s="9" t="n">
        <f aca="false">IF(OR(D121="",E121=""),1,MAX(1,DATEVALUE(E121)-DATEVALUE(D121)))</f>
        <v>3</v>
      </c>
      <c r="G121" s="11" t="n">
        <v>18483</v>
      </c>
      <c r="H121" s="11" t="n">
        <v>19157</v>
      </c>
      <c r="I121" s="11"/>
      <c r="J121" s="11"/>
      <c r="K121" s="11"/>
      <c r="L121" s="12"/>
      <c r="M121" s="13"/>
      <c r="N121" s="14" t="n">
        <f aca="false">IF(G121="","",G121/F121)</f>
        <v>6161</v>
      </c>
      <c r="O121" s="14" t="n">
        <f aca="false">IF(COUNT(H121:K121)=0,"",MIN(H121:K121)/F121)</f>
        <v>6385.66666666667</v>
      </c>
      <c r="P121" s="14" t="str">
        <f aca="false">IF(L121="","",L121*95/F121)</f>
        <v/>
      </c>
      <c r="Q121" s="15" t="n">
        <f aca="false">IF(OR(N121="",O121=""),"",(IF(AND(N121&gt;7500,O121&gt;7500),O121/(1+IF(O121&lt;=1000,0,IF(O121&lt;=7500,0.05,0.18)))-IF(AND(N121&gt;7500,O121&gt;7500),N121/1.18,N121),(O121-IF(AND(N121&gt;7500,O121&gt;7500),N121/1.18,N121))/(1+IF(O121&lt;=1000,0,IF(O121&lt;=7500,0.05,0.18)))))/(IF(AND(N121&gt;7500,O121&gt;7500),N121/1.18,N121)))</f>
        <v>0.0347294682629856</v>
      </c>
      <c r="R121" s="15" t="n">
        <f aca="false">IF(OR(N121="",O121=""),"",((O121-N121)/1.18)/N121)</f>
        <v>0.0309033404035041</v>
      </c>
      <c r="S121" s="15" t="str">
        <f aca="false">IF(OR(P121="",O121=""),"",(P121-O121)/O121)</f>
        <v/>
      </c>
      <c r="T121" s="9" t="str">
        <f aca="false">IF(AND(D121="",G121&lt;&gt;""),"no dates - assumed 1 night",IF(Q121="","",IF(Q121&gt;1.5,"check: markup &gt;150%",IF(Q121&lt;0,"below cost",""))))</f>
        <v/>
      </c>
    </row>
    <row r="122" customFormat="false" ht="15" hidden="false" customHeight="false" outlineLevel="0" collapsed="false">
      <c r="A122" s="9" t="s">
        <v>9</v>
      </c>
      <c r="B122" s="9" t="s">
        <v>81</v>
      </c>
      <c r="C122" s="9" t="s">
        <v>44</v>
      </c>
      <c r="D122" s="10" t="s">
        <v>45</v>
      </c>
      <c r="E122" s="10" t="s">
        <v>46</v>
      </c>
      <c r="F122" s="9" t="n">
        <f aca="false">IF(OR(D122="",E122=""),1,MAX(1,DATEVALUE(E122)-DATEVALUE(D122)))</f>
        <v>3</v>
      </c>
      <c r="G122" s="11" t="n">
        <v>17622</v>
      </c>
      <c r="H122" s="11" t="n">
        <v>19491</v>
      </c>
      <c r="I122" s="11"/>
      <c r="J122" s="11"/>
      <c r="K122" s="11"/>
      <c r="L122" s="12"/>
      <c r="M122" s="13"/>
      <c r="N122" s="14" t="n">
        <f aca="false">IF(G122="","",G122/F122)</f>
        <v>5874</v>
      </c>
      <c r="O122" s="14" t="n">
        <f aca="false">IF(COUNT(H122:K122)=0,"",MIN(H122:K122)/F122)</f>
        <v>6497</v>
      </c>
      <c r="P122" s="14" t="str">
        <f aca="false">IF(L122="","",L122*95/F122)</f>
        <v/>
      </c>
      <c r="Q122" s="15" t="n">
        <f aca="false">IF(OR(N122="",O122=""),"",(IF(AND(N122&gt;7500,O122&gt;7500),O122/(1+IF(O122&lt;=1000,0,IF(O122&lt;=7500,0.05,0.18)))-IF(AND(N122&gt;7500,O122&gt;7500),N122/1.18,N122),(O122-IF(AND(N122&gt;7500,O122&gt;7500),N122/1.18,N122))/(1+IF(O122&lt;=1000,0,IF(O122&lt;=7500,0.05,0.18)))))/(IF(AND(N122&gt;7500,O122&gt;7500),N122/1.18,N122)))</f>
        <v>0.101010101010101</v>
      </c>
      <c r="R122" s="15" t="n">
        <f aca="false">IF(OR(N122="",O122=""),"",((O122-N122)/1.18)/N122)</f>
        <v>0.0898818695428865</v>
      </c>
      <c r="S122" s="15" t="str">
        <f aca="false">IF(OR(P122="",O122=""),"",(P122-O122)/O122)</f>
        <v/>
      </c>
      <c r="T122" s="9" t="str">
        <f aca="false">IF(AND(D122="",G122&lt;&gt;""),"no dates - assumed 1 night",IF(Q122="","",IF(Q122&gt;1.5,"check: markup &gt;150%",IF(Q122&lt;0,"below cost",""))))</f>
        <v/>
      </c>
    </row>
    <row r="123" customFormat="false" ht="15" hidden="false" customHeight="false" outlineLevel="0" collapsed="false">
      <c r="A123" s="9" t="s">
        <v>9</v>
      </c>
      <c r="B123" s="9" t="s">
        <v>81</v>
      </c>
      <c r="C123" s="9" t="s">
        <v>47</v>
      </c>
      <c r="D123" s="10" t="s">
        <v>48</v>
      </c>
      <c r="E123" s="10" t="s">
        <v>49</v>
      </c>
      <c r="F123" s="9" t="n">
        <f aca="false">IF(OR(D123="",E123=""),1,MAX(1,DATEVALUE(E123)-DATEVALUE(D123)))</f>
        <v>3</v>
      </c>
      <c r="G123" s="11" t="n">
        <v>26526</v>
      </c>
      <c r="H123" s="11" t="n">
        <v>29605</v>
      </c>
      <c r="I123" s="11"/>
      <c r="J123" s="11"/>
      <c r="K123" s="11"/>
      <c r="L123" s="12"/>
      <c r="M123" s="13"/>
      <c r="N123" s="14" t="n">
        <f aca="false">IF(G123="","",G123/F123)</f>
        <v>8842</v>
      </c>
      <c r="O123" s="14" t="n">
        <f aca="false">IF(COUNT(H123:K123)=0,"",MIN(H123:K123)/F123)</f>
        <v>9868.33333333333</v>
      </c>
      <c r="P123" s="14" t="str">
        <f aca="false">IF(L123="","",L123*95/F123)</f>
        <v/>
      </c>
      <c r="Q123" s="15" t="n">
        <f aca="false">IF(OR(N123="",O123=""),"",(IF(AND(N123&gt;7500,O123&gt;7500),O123/(1+IF(O123&lt;=1000,0,IF(O123&lt;=7500,0.05,0.18)))-IF(AND(N123&gt;7500,O123&gt;7500),N123/1.18,N123),(O123-IF(AND(N123&gt;7500,O123&gt;7500),N123/1.18,N123))/(1+IF(O123&lt;=1000,0,IF(O123&lt;=7500,0.05,0.18)))))/(IF(AND(N123&gt;7500,O123&gt;7500),N123/1.18,N123)))</f>
        <v>0.116074794541205</v>
      </c>
      <c r="R123" s="15" t="n">
        <f aca="false">IF(OR(N123="",O123=""),"",((O123-N123)/1.18)/N123)</f>
        <v>0.0983684699501737</v>
      </c>
      <c r="S123" s="15" t="str">
        <f aca="false">IF(OR(P123="",O123=""),"",(P123-O123)/O123)</f>
        <v/>
      </c>
      <c r="T123" s="9" t="str">
        <f aca="false">IF(AND(D123="",G123&lt;&gt;""),"no dates - assumed 1 night",IF(Q123="","",IF(Q123&gt;1.5,"check: markup &gt;150%",IF(Q123&lt;0,"below cost",""))))</f>
        <v/>
      </c>
    </row>
    <row r="124" customFormat="false" ht="15" hidden="false" customHeight="false" outlineLevel="0" collapsed="false">
      <c r="A124" s="9" t="s">
        <v>9</v>
      </c>
      <c r="B124" s="9" t="s">
        <v>81</v>
      </c>
      <c r="C124" s="9" t="s">
        <v>50</v>
      </c>
      <c r="D124" s="10" t="s">
        <v>51</v>
      </c>
      <c r="E124" s="10" t="s">
        <v>52</v>
      </c>
      <c r="F124" s="9" t="n">
        <f aca="false">IF(OR(D124="",E124=""),1,MAX(1,DATEVALUE(E124)-DATEVALUE(D124)))</f>
        <v>3</v>
      </c>
      <c r="G124" s="11" t="n">
        <v>44862</v>
      </c>
      <c r="H124" s="11" t="n">
        <v>51691</v>
      </c>
      <c r="I124" s="11"/>
      <c r="J124" s="11"/>
      <c r="K124" s="11"/>
      <c r="L124" s="12"/>
      <c r="M124" s="13"/>
      <c r="N124" s="14" t="n">
        <f aca="false">IF(G124="","",G124/F124)</f>
        <v>14954</v>
      </c>
      <c r="O124" s="14" t="n">
        <f aca="false">IF(COUNT(H124:K124)=0,"",MIN(H124:K124)/F124)</f>
        <v>17230.3333333333</v>
      </c>
      <c r="P124" s="14" t="str">
        <f aca="false">IF(L124="","",L124*95/F124)</f>
        <v/>
      </c>
      <c r="Q124" s="15" t="n">
        <f aca="false">IF(OR(N124="",O124=""),"",(IF(AND(N124&gt;7500,O124&gt;7500),O124/(1+IF(O124&lt;=1000,0,IF(O124&lt;=7500,0.05,0.18)))-IF(AND(N124&gt;7500,O124&gt;7500),N124/1.18,N124),(O124-IF(AND(N124&gt;7500,O124&gt;7500),N124/1.18,N124))/(1+IF(O124&lt;=1000,0,IF(O124&lt;=7500,0.05,0.18)))))/(IF(AND(N124&gt;7500,O124&gt;7500),N124/1.18,N124)))</f>
        <v>0.152222370826089</v>
      </c>
      <c r="R124" s="15" t="n">
        <f aca="false">IF(OR(N124="",O124=""),"",((O124-N124)/1.18)/N124)</f>
        <v>0.129002009174652</v>
      </c>
      <c r="S124" s="15" t="str">
        <f aca="false">IF(OR(P124="",O124=""),"",(P124-O124)/O124)</f>
        <v/>
      </c>
      <c r="T124" s="9" t="str">
        <f aca="false">IF(AND(D124="",G124&lt;&gt;""),"no dates - assumed 1 night",IF(Q124="","",IF(Q124&gt;1.5,"check: markup &gt;150%",IF(Q124&lt;0,"below cost",""))))</f>
        <v/>
      </c>
    </row>
    <row r="125" customFormat="false" ht="15" hidden="false" customHeight="false" outlineLevel="0" collapsed="false">
      <c r="A125" s="9" t="s">
        <v>9</v>
      </c>
      <c r="B125" s="9" t="s">
        <v>81</v>
      </c>
      <c r="C125" s="9" t="s">
        <v>54</v>
      </c>
      <c r="D125" s="10" t="s">
        <v>55</v>
      </c>
      <c r="E125" s="10" t="s">
        <v>56</v>
      </c>
      <c r="F125" s="9" t="n">
        <f aca="false">IF(OR(D125="",E125=""),1,MAX(1,DATEVALUE(E125)-DATEVALUE(D125)))</f>
        <v>3</v>
      </c>
      <c r="G125" s="11" t="n">
        <v>22103</v>
      </c>
      <c r="H125" s="11" t="n">
        <v>22908</v>
      </c>
      <c r="I125" s="11"/>
      <c r="J125" s="11"/>
      <c r="K125" s="11"/>
      <c r="L125" s="12"/>
      <c r="M125" s="13"/>
      <c r="N125" s="14" t="n">
        <f aca="false">IF(G125="","",G125/F125)</f>
        <v>7367.66666666667</v>
      </c>
      <c r="O125" s="14" t="n">
        <f aca="false">IF(COUNT(H125:K125)=0,"",MIN(H125:K125)/F125)</f>
        <v>7636</v>
      </c>
      <c r="P125" s="14" t="str">
        <f aca="false">IF(L125="","",L125*95/F125)</f>
        <v/>
      </c>
      <c r="Q125" s="15" t="n">
        <f aca="false">IF(OR(N125="",O125=""),"",(IF(AND(N125&gt;7500,O125&gt;7500),O125/(1+IF(O125&lt;=1000,0,IF(O125&lt;=7500,0.05,0.18)))-IF(AND(N125&gt;7500,O125&gt;7500),N125/1.18,N125),(O125-IF(AND(N125&gt;7500,O125&gt;7500),N125/1.18,N125))/(1+IF(O125&lt;=1000,0,IF(O125&lt;=7500,0.05,0.18)))))/(IF(AND(N125&gt;7500,O125&gt;7500),N125/1.18,N125)))</f>
        <v>0.0308647418825729</v>
      </c>
      <c r="R125" s="15" t="n">
        <f aca="false">IF(OR(N125="",O125=""),"",((O125-N125)/1.18)/N125)</f>
        <v>0.0308647418825729</v>
      </c>
      <c r="S125" s="15" t="str">
        <f aca="false">IF(OR(P125="",O125=""),"",(P125-O125)/O125)</f>
        <v/>
      </c>
      <c r="T125" s="9" t="str">
        <f aca="false">IF(AND(D125="",G125&lt;&gt;""),"no dates - assumed 1 night",IF(Q125="","",IF(Q125&gt;1.5,"check: markup &gt;150%",IF(Q125&lt;0,"below cost",""))))</f>
        <v/>
      </c>
    </row>
    <row r="126" customFormat="false" ht="15" hidden="false" customHeight="false" outlineLevel="0" collapsed="false">
      <c r="A126" s="9" t="s">
        <v>9</v>
      </c>
      <c r="B126" s="9" t="s">
        <v>82</v>
      </c>
      <c r="C126" s="9" t="s">
        <v>41</v>
      </c>
      <c r="D126" s="10" t="s">
        <v>42</v>
      </c>
      <c r="E126" s="10" t="s">
        <v>43</v>
      </c>
      <c r="F126" s="9" t="n">
        <f aca="false">IF(OR(D126="",E126=""),1,MAX(1,DATEVALUE(E126)-DATEVALUE(D126)))</f>
        <v>3</v>
      </c>
      <c r="G126" s="11" t="n">
        <v>22876</v>
      </c>
      <c r="H126" s="11" t="n">
        <v>24972</v>
      </c>
      <c r="I126" s="11"/>
      <c r="J126" s="11"/>
      <c r="K126" s="11"/>
      <c r="L126" s="12"/>
      <c r="M126" s="13"/>
      <c r="N126" s="14" t="n">
        <f aca="false">IF(G126="","",G126/F126)</f>
        <v>7625.33333333333</v>
      </c>
      <c r="O126" s="14" t="n">
        <f aca="false">IF(COUNT(H126:K126)=0,"",MIN(H126:K126)/F126)</f>
        <v>8324</v>
      </c>
      <c r="P126" s="14" t="str">
        <f aca="false">IF(L126="","",L126*95/F126)</f>
        <v/>
      </c>
      <c r="Q126" s="15" t="n">
        <f aca="false">IF(OR(N126="",O126=""),"",(IF(AND(N126&gt;7500,O126&gt;7500),O126/(1+IF(O126&lt;=1000,0,IF(O126&lt;=7500,0.05,0.18)))-IF(AND(N126&gt;7500,O126&gt;7500),N126/1.18,N126),(O126-IF(AND(N126&gt;7500,O126&gt;7500),N126/1.18,N126))/(1+IF(O126&lt;=1000,0,IF(O126&lt;=7500,0.05,0.18)))))/(IF(AND(N126&gt;7500,O126&gt;7500),N126/1.18,N126)))</f>
        <v>0.091624409861864</v>
      </c>
      <c r="R126" s="15" t="n">
        <f aca="false">IF(OR(N126="",O126=""),"",((O126-N126)/1.18)/N126)</f>
        <v>0.0776478049676814</v>
      </c>
      <c r="S126" s="15" t="str">
        <f aca="false">IF(OR(P126="",O126=""),"",(P126-O126)/O126)</f>
        <v/>
      </c>
      <c r="T126" s="9" t="str">
        <f aca="false">IF(AND(D126="",G126&lt;&gt;""),"no dates - assumed 1 night",IF(Q126="","",IF(Q126&gt;1.5,"check: markup &gt;150%",IF(Q126&lt;0,"below cost",""))))</f>
        <v/>
      </c>
    </row>
    <row r="127" customFormat="false" ht="15" hidden="false" customHeight="false" outlineLevel="0" collapsed="false">
      <c r="A127" s="9" t="s">
        <v>9</v>
      </c>
      <c r="B127" s="9" t="s">
        <v>82</v>
      </c>
      <c r="C127" s="9" t="s">
        <v>44</v>
      </c>
      <c r="D127" s="10" t="s">
        <v>45</v>
      </c>
      <c r="E127" s="10" t="s">
        <v>46</v>
      </c>
      <c r="F127" s="9" t="n">
        <f aca="false">IF(OR(D127="",E127=""),1,MAX(1,DATEVALUE(E127)-DATEVALUE(D127)))</f>
        <v>3</v>
      </c>
      <c r="G127" s="11" t="n">
        <v>18717</v>
      </c>
      <c r="H127" s="11" t="n">
        <v>19276</v>
      </c>
      <c r="I127" s="11"/>
      <c r="J127" s="11"/>
      <c r="K127" s="11"/>
      <c r="L127" s="12"/>
      <c r="M127" s="13"/>
      <c r="N127" s="14" t="n">
        <f aca="false">IF(G127="","",G127/F127)</f>
        <v>6239</v>
      </c>
      <c r="O127" s="14" t="n">
        <f aca="false">IF(COUNT(H127:K127)=0,"",MIN(H127:K127)/F127)</f>
        <v>6425.33333333333</v>
      </c>
      <c r="P127" s="14" t="str">
        <f aca="false">IF(L127="","",L127*95/F127)</f>
        <v/>
      </c>
      <c r="Q127" s="15" t="n">
        <f aca="false">IF(OR(N127="",O127=""),"",(IF(AND(N127&gt;7500,O127&gt;7500),O127/(1+IF(O127&lt;=1000,0,IF(O127&lt;=7500,0.05,0.18)))-IF(AND(N127&gt;7500,O127&gt;7500),N127/1.18,N127),(O127-IF(AND(N127&gt;7500,O127&gt;7500),N127/1.18,N127))/(1+IF(O127&lt;=1000,0,IF(O127&lt;=7500,0.05,0.18)))))/(IF(AND(N127&gt;7500,O127&gt;7500),N127/1.18,N127)))</f>
        <v>0.028443711726289</v>
      </c>
      <c r="R127" s="15" t="n">
        <f aca="false">IF(OR(N127="",O127=""),"",((O127-N127)/1.18)/N127)</f>
        <v>0.025310082468308</v>
      </c>
      <c r="S127" s="15" t="str">
        <f aca="false">IF(OR(P127="",O127=""),"",(P127-O127)/O127)</f>
        <v/>
      </c>
      <c r="T127" s="9" t="str">
        <f aca="false">IF(AND(D127="",G127&lt;&gt;""),"no dates - assumed 1 night",IF(Q127="","",IF(Q127&gt;1.5,"check: markup &gt;150%",IF(Q127&lt;0,"below cost",""))))</f>
        <v/>
      </c>
    </row>
    <row r="128" customFormat="false" ht="15" hidden="false" customHeight="false" outlineLevel="0" collapsed="false">
      <c r="A128" s="9" t="s">
        <v>9</v>
      </c>
      <c r="B128" s="9" t="s">
        <v>82</v>
      </c>
      <c r="C128" s="9" t="s">
        <v>47</v>
      </c>
      <c r="D128" s="10" t="s">
        <v>48</v>
      </c>
      <c r="E128" s="10" t="s">
        <v>49</v>
      </c>
      <c r="F128" s="9" t="n">
        <f aca="false">IF(OR(D128="",E128=""),1,MAX(1,DATEVALUE(E128)-DATEVALUE(D128)))</f>
        <v>3</v>
      </c>
      <c r="G128" s="11" t="n">
        <v>32527</v>
      </c>
      <c r="H128" s="11" t="n">
        <v>34832</v>
      </c>
      <c r="I128" s="11"/>
      <c r="J128" s="11"/>
      <c r="K128" s="11"/>
      <c r="L128" s="12"/>
      <c r="M128" s="13"/>
      <c r="N128" s="14" t="n">
        <f aca="false">IF(G128="","",G128/F128)</f>
        <v>10842.3333333333</v>
      </c>
      <c r="O128" s="14" t="n">
        <f aca="false">IF(COUNT(H128:K128)=0,"",MIN(H128:K128)/F128)</f>
        <v>11610.6666666667</v>
      </c>
      <c r="P128" s="14" t="str">
        <f aca="false">IF(L128="","",L128*95/F128)</f>
        <v/>
      </c>
      <c r="Q128" s="15" t="n">
        <f aca="false">IF(OR(N128="",O128=""),"",(IF(AND(N128&gt;7500,O128&gt;7500),O128/(1+IF(O128&lt;=1000,0,IF(O128&lt;=7500,0.05,0.18)))-IF(AND(N128&gt;7500,O128&gt;7500),N128/1.18,N128),(O128-IF(AND(N128&gt;7500,O128&gt;7500),N128/1.18,N128))/(1+IF(O128&lt;=1000,0,IF(O128&lt;=7500,0.05,0.18)))))/(IF(AND(N128&gt;7500,O128&gt;7500),N128/1.18,N128)))</f>
        <v>0.0708642051218987</v>
      </c>
      <c r="R128" s="15" t="n">
        <f aca="false">IF(OR(N128="",O128=""),"",((O128-N128)/1.18)/N128)</f>
        <v>0.0600544111202531</v>
      </c>
      <c r="S128" s="15" t="str">
        <f aca="false">IF(OR(P128="",O128=""),"",(P128-O128)/O128)</f>
        <v/>
      </c>
      <c r="T128" s="9" t="str">
        <f aca="false">IF(AND(D128="",G128&lt;&gt;""),"no dates - assumed 1 night",IF(Q128="","",IF(Q128&gt;1.5,"check: markup &gt;150%",IF(Q128&lt;0,"below cost",""))))</f>
        <v/>
      </c>
    </row>
    <row r="129" customFormat="false" ht="15" hidden="false" customHeight="false" outlineLevel="0" collapsed="false">
      <c r="A129" s="9" t="s">
        <v>9</v>
      </c>
      <c r="B129" s="9" t="s">
        <v>82</v>
      </c>
      <c r="C129" s="9" t="s">
        <v>50</v>
      </c>
      <c r="D129" s="10" t="s">
        <v>51</v>
      </c>
      <c r="E129" s="10" t="s">
        <v>52</v>
      </c>
      <c r="F129" s="9" t="n">
        <f aca="false">IF(OR(D129="",E129=""),1,MAX(1,DATEVALUE(E129)-DATEVALUE(D129)))</f>
        <v>3</v>
      </c>
      <c r="G129" s="11" t="n">
        <v>58298</v>
      </c>
      <c r="H129" s="11" t="n">
        <v>64036</v>
      </c>
      <c r="I129" s="11"/>
      <c r="J129" s="11"/>
      <c r="K129" s="11"/>
      <c r="L129" s="12"/>
      <c r="M129" s="13"/>
      <c r="N129" s="14" t="n">
        <f aca="false">IF(G129="","",G129/F129)</f>
        <v>19432.6666666667</v>
      </c>
      <c r="O129" s="14" t="n">
        <f aca="false">IF(COUNT(H129:K129)=0,"",MIN(H129:K129)/F129)</f>
        <v>21345.3333333333</v>
      </c>
      <c r="P129" s="14" t="str">
        <f aca="false">IF(L129="","",L129*95/F129)</f>
        <v/>
      </c>
      <c r="Q129" s="15" t="n">
        <f aca="false">IF(OR(N129="",O129=""),"",(IF(AND(N129&gt;7500,O129&gt;7500),O129/(1+IF(O129&lt;=1000,0,IF(O129&lt;=7500,0.05,0.18)))-IF(AND(N129&gt;7500,O129&gt;7500),N129/1.18,N129),(O129-IF(AND(N129&gt;7500,O129&gt;7500),N129/1.18,N129))/(1+IF(O129&lt;=1000,0,IF(O129&lt;=7500,0.05,0.18)))))/(IF(AND(N129&gt;7500,O129&gt;7500),N129/1.18,N129)))</f>
        <v>0.0984253319153315</v>
      </c>
      <c r="R129" s="15" t="n">
        <f aca="false">IF(OR(N129="",O129=""),"",((O129-N129)/1.18)/N129)</f>
        <v>0.0834112982333317</v>
      </c>
      <c r="S129" s="15" t="str">
        <f aca="false">IF(OR(P129="",O129=""),"",(P129-O129)/O129)</f>
        <v/>
      </c>
      <c r="T129" s="9" t="str">
        <f aca="false">IF(AND(D129="",G129&lt;&gt;""),"no dates - assumed 1 night",IF(Q129="","",IF(Q129&gt;1.5,"check: markup &gt;150%",IF(Q129&lt;0,"below cost",""))))</f>
        <v/>
      </c>
    </row>
    <row r="130" customFormat="false" ht="15" hidden="false" customHeight="false" outlineLevel="0" collapsed="false">
      <c r="A130" s="9" t="s">
        <v>9</v>
      </c>
      <c r="B130" s="9" t="s">
        <v>82</v>
      </c>
      <c r="C130" s="9" t="s">
        <v>54</v>
      </c>
      <c r="D130" s="10" t="s">
        <v>55</v>
      </c>
      <c r="E130" s="10" t="s">
        <v>56</v>
      </c>
      <c r="F130" s="9" t="n">
        <f aca="false">IF(OR(D130="",E130=""),1,MAX(1,DATEVALUE(E130)-DATEVALUE(D130)))</f>
        <v>3</v>
      </c>
      <c r="G130" s="11" t="n">
        <v>29435</v>
      </c>
      <c r="H130" s="11" t="n">
        <v>29736</v>
      </c>
      <c r="I130" s="11"/>
      <c r="J130" s="11"/>
      <c r="K130" s="11"/>
      <c r="L130" s="12"/>
      <c r="M130" s="13"/>
      <c r="N130" s="14" t="n">
        <f aca="false">IF(G130="","",G130/F130)</f>
        <v>9811.66666666667</v>
      </c>
      <c r="O130" s="14" t="n">
        <f aca="false">IF(COUNT(H130:K130)=0,"",MIN(H130:K130)/F130)</f>
        <v>9912</v>
      </c>
      <c r="P130" s="14" t="str">
        <f aca="false">IF(L130="","",L130*95/F130)</f>
        <v/>
      </c>
      <c r="Q130" s="15" t="n">
        <f aca="false">IF(OR(N130="",O130=""),"",(IF(AND(N130&gt;7500,O130&gt;7500),O130/(1+IF(O130&lt;=1000,0,IF(O130&lt;=7500,0.05,0.18)))-IF(AND(N130&gt;7500,O130&gt;7500),N130/1.18,N130),(O130-IF(AND(N130&gt;7500,O130&gt;7500),N130/1.18,N130))/(1+IF(O130&lt;=1000,0,IF(O130&lt;=7500,0.05,0.18)))))/(IF(AND(N130&gt;7500,O130&gt;7500),N130/1.18,N130)))</f>
        <v>0.0102259215219976</v>
      </c>
      <c r="R130" s="15" t="n">
        <f aca="false">IF(OR(N130="",O130=""),"",((O130-N130)/1.18)/N130)</f>
        <v>0.00866603518813363</v>
      </c>
      <c r="S130" s="15" t="str">
        <f aca="false">IF(OR(P130="",O130=""),"",(P130-O130)/O130)</f>
        <v/>
      </c>
      <c r="T130" s="9" t="str">
        <f aca="false">IF(AND(D130="",G130&lt;&gt;""),"no dates - assumed 1 night",IF(Q130="","",IF(Q130&gt;1.5,"check: markup &gt;150%",IF(Q130&lt;0,"below cost",""))))</f>
        <v/>
      </c>
    </row>
    <row r="131" customFormat="false" ht="15" hidden="false" customHeight="false" outlineLevel="0" collapsed="false">
      <c r="A131" s="9" t="s">
        <v>9</v>
      </c>
      <c r="B131" s="9" t="s">
        <v>83</v>
      </c>
      <c r="C131" s="9" t="s">
        <v>41</v>
      </c>
      <c r="D131" s="10" t="s">
        <v>42</v>
      </c>
      <c r="E131" s="10" t="s">
        <v>43</v>
      </c>
      <c r="F131" s="9" t="n">
        <f aca="false">IF(OR(D131="",E131=""),1,MAX(1,DATEVALUE(E131)-DATEVALUE(D131)))</f>
        <v>3</v>
      </c>
      <c r="G131" s="11" t="n">
        <v>10520</v>
      </c>
      <c r="H131" s="11" t="n">
        <v>12648</v>
      </c>
      <c r="I131" s="11"/>
      <c r="J131" s="11"/>
      <c r="K131" s="11"/>
      <c r="L131" s="12"/>
      <c r="M131" s="13"/>
      <c r="N131" s="14" t="n">
        <f aca="false">IF(G131="","",G131/F131)</f>
        <v>3506.66666666667</v>
      </c>
      <c r="O131" s="14" t="n">
        <f aca="false">IF(COUNT(H131:K131)=0,"",MIN(H131:K131)/F131)</f>
        <v>4216</v>
      </c>
      <c r="P131" s="14" t="str">
        <f aca="false">IF(L131="","",L131*95/F131)</f>
        <v/>
      </c>
      <c r="Q131" s="15" t="n">
        <f aca="false">IF(OR(N131="",O131=""),"",(IF(AND(N131&gt;7500,O131&gt;7500),O131/(1+IF(O131&lt;=1000,0,IF(O131&lt;=7500,0.05,0.18)))-IF(AND(N131&gt;7500,O131&gt;7500),N131/1.18,N131),(O131-IF(AND(N131&gt;7500,O131&gt;7500),N131/1.18,N131))/(1+IF(O131&lt;=1000,0,IF(O131&lt;=7500,0.05,0.18)))))/(IF(AND(N131&gt;7500,O131&gt;7500),N131/1.18,N131)))</f>
        <v>0.192648922686946</v>
      </c>
      <c r="R131" s="15" t="n">
        <f aca="false">IF(OR(N131="",O131=""),"",((O131-N131)/1.18)/N131)</f>
        <v>0.171424888831604</v>
      </c>
      <c r="S131" s="15" t="str">
        <f aca="false">IF(OR(P131="",O131=""),"",(P131-O131)/O131)</f>
        <v/>
      </c>
      <c r="T131" s="9" t="str">
        <f aca="false">IF(AND(D131="",G131&lt;&gt;""),"no dates - assumed 1 night",IF(Q131="","",IF(Q131&gt;1.5,"check: markup &gt;150%",IF(Q131&lt;0,"below cost",""))))</f>
        <v/>
      </c>
    </row>
    <row r="132" customFormat="false" ht="15" hidden="false" customHeight="false" outlineLevel="0" collapsed="false">
      <c r="A132" s="9" t="s">
        <v>9</v>
      </c>
      <c r="B132" s="9" t="s">
        <v>83</v>
      </c>
      <c r="C132" s="9" t="s">
        <v>44</v>
      </c>
      <c r="D132" s="10" t="s">
        <v>45</v>
      </c>
      <c r="E132" s="10" t="s">
        <v>46</v>
      </c>
      <c r="F132" s="9" t="n">
        <f aca="false">IF(OR(D132="",E132=""),1,MAX(1,DATEVALUE(E132)-DATEVALUE(D132)))</f>
        <v>3</v>
      </c>
      <c r="G132" s="11" t="n">
        <v>9566</v>
      </c>
      <c r="H132" s="11" t="n">
        <v>11487</v>
      </c>
      <c r="I132" s="11"/>
      <c r="J132" s="11"/>
      <c r="K132" s="11"/>
      <c r="L132" s="12"/>
      <c r="M132" s="13"/>
      <c r="N132" s="14" t="n">
        <f aca="false">IF(G132="","",G132/F132)</f>
        <v>3188.66666666667</v>
      </c>
      <c r="O132" s="14" t="n">
        <f aca="false">IF(COUNT(H132:K132)=0,"",MIN(H132:K132)/F132)</f>
        <v>3829</v>
      </c>
      <c r="P132" s="14" t="str">
        <f aca="false">IF(L132="","",L132*95/F132)</f>
        <v/>
      </c>
      <c r="Q132" s="15" t="n">
        <f aca="false">IF(OR(N132="",O132=""),"",(IF(AND(N132&gt;7500,O132&gt;7500),O132/(1+IF(O132&lt;=1000,0,IF(O132&lt;=7500,0.05,0.18)))-IF(AND(N132&gt;7500,O132&gt;7500),N132/1.18,N132),(O132-IF(AND(N132&gt;7500,O132&gt;7500),N132/1.18,N132))/(1+IF(O132&lt;=1000,0,IF(O132&lt;=7500,0.05,0.18)))))/(IF(AND(N132&gt;7500,O132&gt;7500),N132/1.18,N132)))</f>
        <v>0.1912527503161</v>
      </c>
      <c r="R132" s="15" t="n">
        <f aca="false">IF(OR(N132="",O132=""),"",((O132-N132)/1.18)/N132)</f>
        <v>0.170182532060936</v>
      </c>
      <c r="S132" s="15" t="str">
        <f aca="false">IF(OR(P132="",O132=""),"",(P132-O132)/O132)</f>
        <v/>
      </c>
      <c r="T132" s="9" t="str">
        <f aca="false">IF(AND(D132="",G132&lt;&gt;""),"no dates - assumed 1 night",IF(Q132="","",IF(Q132&gt;1.5,"check: markup &gt;150%",IF(Q132&lt;0,"below cost",""))))</f>
        <v/>
      </c>
    </row>
    <row r="133" customFormat="false" ht="15" hidden="false" customHeight="false" outlineLevel="0" collapsed="false">
      <c r="A133" s="9" t="s">
        <v>9</v>
      </c>
      <c r="B133" s="9" t="s">
        <v>83</v>
      </c>
      <c r="C133" s="9" t="s">
        <v>47</v>
      </c>
      <c r="D133" s="10" t="s">
        <v>48</v>
      </c>
      <c r="E133" s="10" t="s">
        <v>49</v>
      </c>
      <c r="F133" s="9" t="n">
        <f aca="false">IF(OR(D133="",E133=""),1,MAX(1,DATEVALUE(E133)-DATEVALUE(D133)))</f>
        <v>3</v>
      </c>
      <c r="G133" s="11" t="n">
        <v>10541</v>
      </c>
      <c r="H133" s="11" t="n">
        <v>11279</v>
      </c>
      <c r="I133" s="11"/>
      <c r="J133" s="11"/>
      <c r="K133" s="11"/>
      <c r="L133" s="12"/>
      <c r="M133" s="13"/>
      <c r="N133" s="14" t="n">
        <f aca="false">IF(G133="","",G133/F133)</f>
        <v>3513.66666666667</v>
      </c>
      <c r="O133" s="14" t="n">
        <f aca="false">IF(COUNT(H133:K133)=0,"",MIN(H133:K133)/F133)</f>
        <v>3759.66666666667</v>
      </c>
      <c r="P133" s="14" t="str">
        <f aca="false">IF(L133="","",L133*95/F133)</f>
        <v/>
      </c>
      <c r="Q133" s="15" t="n">
        <f aca="false">IF(OR(N133="",O133=""),"",(IF(AND(N133&gt;7500,O133&gt;7500),O133/(1+IF(O133&lt;=1000,0,IF(O133&lt;=7500,0.05,0.18)))-IF(AND(N133&gt;7500,O133&gt;7500),N133/1.18,N133),(O133-IF(AND(N133&gt;7500,O133&gt;7500),N133/1.18,N133))/(1+IF(O133&lt;=1000,0,IF(O133&lt;=7500,0.05,0.18)))))/(IF(AND(N133&gt;7500,O133&gt;7500),N133/1.18,N133)))</f>
        <v>0.0666784121864285</v>
      </c>
      <c r="R133" s="15" t="n">
        <f aca="false">IF(OR(N133="",O133=""),"",((O133-N133)/1.18)/N133)</f>
        <v>0.0593324854201271</v>
      </c>
      <c r="S133" s="15" t="str">
        <f aca="false">IF(OR(P133="",O133=""),"",(P133-O133)/O133)</f>
        <v/>
      </c>
      <c r="T133" s="9" t="str">
        <f aca="false">IF(AND(D133="",G133&lt;&gt;""),"no dates - assumed 1 night",IF(Q133="","",IF(Q133&gt;1.5,"check: markup &gt;150%",IF(Q133&lt;0,"below cost",""))))</f>
        <v/>
      </c>
    </row>
    <row r="134" customFormat="false" ht="15" hidden="false" customHeight="false" outlineLevel="0" collapsed="false">
      <c r="A134" s="9" t="s">
        <v>9</v>
      </c>
      <c r="B134" s="9" t="s">
        <v>83</v>
      </c>
      <c r="C134" s="9" t="s">
        <v>50</v>
      </c>
      <c r="D134" s="10" t="s">
        <v>51</v>
      </c>
      <c r="E134" s="10" t="s">
        <v>52</v>
      </c>
      <c r="F134" s="9" t="n">
        <f aca="false">IF(OR(D134="",E134=""),1,MAX(1,DATEVALUE(E134)-DATEVALUE(D134)))</f>
        <v>3</v>
      </c>
      <c r="G134" s="11" t="n">
        <v>20964</v>
      </c>
      <c r="H134" s="11" t="n">
        <v>34884</v>
      </c>
      <c r="I134" s="11"/>
      <c r="J134" s="11"/>
      <c r="K134" s="11"/>
      <c r="L134" s="12"/>
      <c r="M134" s="13"/>
      <c r="N134" s="14" t="n">
        <f aca="false">IF(G134="","",G134/F134)</f>
        <v>6988</v>
      </c>
      <c r="O134" s="14" t="n">
        <f aca="false">IF(COUNT(H134:K134)=0,"",MIN(H134:K134)/F134)</f>
        <v>11628</v>
      </c>
      <c r="P134" s="14" t="str">
        <f aca="false">IF(L134="","",L134*95/F134)</f>
        <v/>
      </c>
      <c r="Q134" s="15" t="n">
        <f aca="false">IF(OR(N134="",O134=""),"",(IF(AND(N134&gt;7500,O134&gt;7500),O134/(1+IF(O134&lt;=1000,0,IF(O134&lt;=7500,0.05,0.18)))-IF(AND(N134&gt;7500,O134&gt;7500),N134/1.18,N134),(O134-IF(AND(N134&gt;7500,O134&gt;7500),N134/1.18,N134))/(1+IF(O134&lt;=1000,0,IF(O134&lt;=7500,0.05,0.18)))))/(IF(AND(N134&gt;7500,O134&gt;7500),N134/1.18,N134)))</f>
        <v>0.562707983662065</v>
      </c>
      <c r="R134" s="15" t="n">
        <f aca="false">IF(OR(N134="",O134=""),"",((O134-N134)/1.18)/N134)</f>
        <v>0.562707983662065</v>
      </c>
      <c r="S134" s="15" t="str">
        <f aca="false">IF(OR(P134="",O134=""),"",(P134-O134)/O134)</f>
        <v/>
      </c>
      <c r="T134" s="9" t="str">
        <f aca="false">IF(AND(D134="",G134&lt;&gt;""),"no dates - assumed 1 night",IF(Q134="","",IF(Q134&gt;1.5,"check: markup &gt;150%",IF(Q134&lt;0,"below cost",""))))</f>
        <v/>
      </c>
    </row>
    <row r="135" customFormat="false" ht="15" hidden="false" customHeight="false" outlineLevel="0" collapsed="false">
      <c r="A135" s="9" t="s">
        <v>9</v>
      </c>
      <c r="B135" s="9" t="s">
        <v>83</v>
      </c>
      <c r="C135" s="9" t="s">
        <v>54</v>
      </c>
      <c r="D135" s="10" t="s">
        <v>55</v>
      </c>
      <c r="E135" s="10" t="s">
        <v>56</v>
      </c>
      <c r="F135" s="9" t="n">
        <f aca="false">IF(OR(D135="",E135=""),1,MAX(1,DATEVALUE(E135)-DATEVALUE(D135)))</f>
        <v>3</v>
      </c>
      <c r="G135" s="11" t="n">
        <v>9865</v>
      </c>
      <c r="H135" s="11" t="n">
        <v>11279</v>
      </c>
      <c r="I135" s="11"/>
      <c r="J135" s="11"/>
      <c r="K135" s="11"/>
      <c r="L135" s="12"/>
      <c r="M135" s="13"/>
      <c r="N135" s="14" t="n">
        <f aca="false">IF(G135="","",G135/F135)</f>
        <v>3288.33333333333</v>
      </c>
      <c r="O135" s="14" t="n">
        <f aca="false">IF(COUNT(H135:K135)=0,"",MIN(H135:K135)/F135)</f>
        <v>3759.66666666667</v>
      </c>
      <c r="P135" s="14" t="str">
        <f aca="false">IF(L135="","",L135*95/F135)</f>
        <v/>
      </c>
      <c r="Q135" s="15" t="n">
        <f aca="false">IF(OR(N135="",O135=""),"",(IF(AND(N135&gt;7500,O135&gt;7500),O135/(1+IF(O135&lt;=1000,0,IF(O135&lt;=7500,0.05,0.18)))-IF(AND(N135&gt;7500,O135&gt;7500),N135/1.18,N135),(O135-IF(AND(N135&gt;7500,O135&gt;7500),N135/1.18,N135))/(1+IF(O135&lt;=1000,0,IF(O135&lt;=7500,0.05,0.18)))))/(IF(AND(N135&gt;7500,O135&gt;7500),N135/1.18,N135)))</f>
        <v>0.13650954553134</v>
      </c>
      <c r="R135" s="15" t="n">
        <f aca="false">IF(OR(N135="",O135=""),"",((O135-N135)/1.18)/N135)</f>
        <v>0.121470358311785</v>
      </c>
      <c r="S135" s="15" t="str">
        <f aca="false">IF(OR(P135="",O135=""),"",(P135-O135)/O135)</f>
        <v/>
      </c>
      <c r="T135" s="9" t="str">
        <f aca="false">IF(AND(D135="",G135&lt;&gt;""),"no dates - assumed 1 night",IF(Q135="","",IF(Q135&gt;1.5,"check: markup &gt;150%",IF(Q135&lt;0,"below cost",""))))</f>
        <v/>
      </c>
    </row>
    <row r="136" customFormat="false" ht="15" hidden="false" customHeight="false" outlineLevel="0" collapsed="false">
      <c r="A136" s="9" t="s">
        <v>9</v>
      </c>
      <c r="B136" s="9" t="s">
        <v>84</v>
      </c>
      <c r="C136" s="9" t="s">
        <v>41</v>
      </c>
      <c r="D136" s="10" t="s">
        <v>42</v>
      </c>
      <c r="E136" s="10" t="s">
        <v>43</v>
      </c>
      <c r="F136" s="9" t="n">
        <f aca="false">IF(OR(D136="",E136=""),1,MAX(1,DATEVALUE(E136)-DATEVALUE(D136)))</f>
        <v>3</v>
      </c>
      <c r="G136" s="11" t="n">
        <v>27216</v>
      </c>
      <c r="H136" s="11" t="n">
        <v>28365</v>
      </c>
      <c r="I136" s="11"/>
      <c r="J136" s="11"/>
      <c r="K136" s="11"/>
      <c r="L136" s="12" t="n">
        <v>340.93</v>
      </c>
      <c r="M136" s="13" t="n">
        <v>0.22</v>
      </c>
      <c r="N136" s="14" t="n">
        <f aca="false">IF(G136="","",G136/F136)</f>
        <v>9072</v>
      </c>
      <c r="O136" s="14" t="n">
        <f aca="false">IF(COUNT(H136:K136)=0,"",MIN(H136:K136)/F136)</f>
        <v>9455</v>
      </c>
      <c r="P136" s="14" t="n">
        <f aca="false">IF(L136="","",L136*95/F136)</f>
        <v>10796.1166666667</v>
      </c>
      <c r="Q136" s="15" t="n">
        <f aca="false">IF(OR(N136="",O136=""),"",(IF(AND(N136&gt;7500,O136&gt;7500),O136/(1+IF(O136&lt;=1000,0,IF(O136&lt;=7500,0.05,0.18)))-IF(AND(N136&gt;7500,O136&gt;7500),N136/1.18,N136),(O136-IF(AND(N136&gt;7500,O136&gt;7500),N136/1.18,N136))/(1+IF(O136&lt;=1000,0,IF(O136&lt;=7500,0.05,0.18)))))/(IF(AND(N136&gt;7500,O136&gt;7500),N136/1.18,N136)))</f>
        <v>0.0422178130511464</v>
      </c>
      <c r="R136" s="15" t="n">
        <f aca="false">IF(OR(N136="",O136=""),"",((O136-N136)/1.18)/N136)</f>
        <v>0.035777807670463</v>
      </c>
      <c r="S136" s="15" t="n">
        <f aca="false">IF(OR(P136="",O136=""),"",(P136-O136)/O136)</f>
        <v>0.141842058875375</v>
      </c>
      <c r="T136" s="9" t="str">
        <f aca="false">IF(AND(D136="",G136&lt;&gt;""),"no dates - assumed 1 night",IF(Q136="","",IF(Q136&gt;1.5,"check: markup &gt;150%",IF(Q136&lt;0,"below cost",""))))</f>
        <v/>
      </c>
    </row>
    <row r="137" customFormat="false" ht="15" hidden="false" customHeight="false" outlineLevel="0" collapsed="false">
      <c r="A137" s="9" t="s">
        <v>9</v>
      </c>
      <c r="B137" s="9" t="s">
        <v>84</v>
      </c>
      <c r="C137" s="9" t="s">
        <v>44</v>
      </c>
      <c r="D137" s="10" t="s">
        <v>45</v>
      </c>
      <c r="E137" s="10" t="s">
        <v>46</v>
      </c>
      <c r="F137" s="9" t="n">
        <f aca="false">IF(OR(D137="",E137=""),1,MAX(1,DATEVALUE(E137)-DATEVALUE(D137)))</f>
        <v>3</v>
      </c>
      <c r="G137" s="11" t="n">
        <v>13696</v>
      </c>
      <c r="H137" s="11" t="n">
        <v>15089</v>
      </c>
      <c r="I137" s="11"/>
      <c r="J137" s="11"/>
      <c r="K137" s="11"/>
      <c r="L137" s="12" t="n">
        <v>186.22</v>
      </c>
      <c r="M137" s="13" t="n">
        <v>0.19</v>
      </c>
      <c r="N137" s="14" t="n">
        <f aca="false">IF(G137="","",G137/F137)</f>
        <v>4565.33333333333</v>
      </c>
      <c r="O137" s="14" t="n">
        <f aca="false">IF(COUNT(H137:K137)=0,"",MIN(H137:K137)/F137)</f>
        <v>5029.66666666667</v>
      </c>
      <c r="P137" s="14" t="n">
        <f aca="false">IF(L137="","",L137*95/F137)</f>
        <v>5896.96666666667</v>
      </c>
      <c r="Q137" s="15" t="n">
        <f aca="false">IF(OR(N137="",O137=""),"",(IF(AND(N137&gt;7500,O137&gt;7500),O137/(1+IF(O137&lt;=1000,0,IF(O137&lt;=7500,0.05,0.18)))-IF(AND(N137&gt;7500,O137&gt;7500),N137/1.18,N137),(O137-IF(AND(N137&gt;7500,O137&gt;7500),N137/1.18,N137))/(1+IF(O137&lt;=1000,0,IF(O137&lt;=7500,0.05,0.18)))))/(IF(AND(N137&gt;7500,O137&gt;7500),N137/1.18,N137)))</f>
        <v>0.0968652647975079</v>
      </c>
      <c r="R137" s="15" t="n">
        <f aca="false">IF(OR(N137="",O137=""),"",((O137-N137)/1.18)/N137)</f>
        <v>0.086193667828291</v>
      </c>
      <c r="S137" s="15" t="n">
        <f aca="false">IF(OR(P137="",O137=""),"",(P137-O137)/O137)</f>
        <v>0.17243687454437</v>
      </c>
      <c r="T137" s="9" t="str">
        <f aca="false">IF(AND(D137="",G137&lt;&gt;""),"no dates - assumed 1 night",IF(Q137="","",IF(Q137&gt;1.5,"check: markup &gt;150%",IF(Q137&lt;0,"below cost",""))))</f>
        <v/>
      </c>
    </row>
    <row r="138" customFormat="false" ht="15" hidden="false" customHeight="false" outlineLevel="0" collapsed="false">
      <c r="A138" s="9" t="s">
        <v>9</v>
      </c>
      <c r="B138" s="9" t="s">
        <v>84</v>
      </c>
      <c r="C138" s="9" t="s">
        <v>47</v>
      </c>
      <c r="D138" s="10" t="s">
        <v>48</v>
      </c>
      <c r="E138" s="10" t="s">
        <v>49</v>
      </c>
      <c r="F138" s="9" t="n">
        <f aca="false">IF(OR(D138="",E138=""),1,MAX(1,DATEVALUE(E138)-DATEVALUE(D138)))</f>
        <v>3</v>
      </c>
      <c r="G138" s="11" t="n">
        <v>36086</v>
      </c>
      <c r="H138" s="11" t="n">
        <v>39396</v>
      </c>
      <c r="I138" s="11"/>
      <c r="J138" s="11"/>
      <c r="K138" s="11"/>
      <c r="L138" s="12" t="n">
        <v>471.92</v>
      </c>
      <c r="M138" s="13" t="n">
        <v>0.2</v>
      </c>
      <c r="N138" s="14" t="n">
        <f aca="false">IF(G138="","",G138/F138)</f>
        <v>12028.6666666667</v>
      </c>
      <c r="O138" s="14" t="n">
        <f aca="false">IF(COUNT(H138:K138)=0,"",MIN(H138:K138)/F138)</f>
        <v>13132</v>
      </c>
      <c r="P138" s="14" t="n">
        <f aca="false">IF(L138="","",L138*95/F138)</f>
        <v>14944.1333333333</v>
      </c>
      <c r="Q138" s="15" t="n">
        <f aca="false">IF(OR(N138="",O138=""),"",(IF(AND(N138&gt;7500,O138&gt;7500),O138/(1+IF(O138&lt;=1000,0,IF(O138&lt;=7500,0.05,0.18)))-IF(AND(N138&gt;7500,O138&gt;7500),N138/1.18,N138),(O138-IF(AND(N138&gt;7500,O138&gt;7500),N138/1.18,N138))/(1+IF(O138&lt;=1000,0,IF(O138&lt;=7500,0.05,0.18)))))/(IF(AND(N138&gt;7500,O138&gt;7500),N138/1.18,N138)))</f>
        <v>0.0917253228398825</v>
      </c>
      <c r="R138" s="15" t="n">
        <f aca="false">IF(OR(N138="",O138=""),"",((O138-N138)/1.18)/N138)</f>
        <v>0.0777333244405784</v>
      </c>
      <c r="S138" s="15" t="n">
        <f aca="false">IF(OR(P138="",O138=""),"",(P138-O138)/O138)</f>
        <v>0.137993704944664</v>
      </c>
      <c r="T138" s="9" t="str">
        <f aca="false">IF(AND(D138="",G138&lt;&gt;""),"no dates - assumed 1 night",IF(Q138="","",IF(Q138&gt;1.5,"check: markup &gt;150%",IF(Q138&lt;0,"below cost",""))))</f>
        <v/>
      </c>
    </row>
    <row r="139" customFormat="false" ht="15" hidden="false" customHeight="false" outlineLevel="0" collapsed="false">
      <c r="A139" s="9" t="s">
        <v>9</v>
      </c>
      <c r="B139" s="9" t="s">
        <v>84</v>
      </c>
      <c r="C139" s="9" t="s">
        <v>50</v>
      </c>
      <c r="D139" s="10" t="s">
        <v>51</v>
      </c>
      <c r="E139" s="10" t="s">
        <v>52</v>
      </c>
      <c r="F139" s="9" t="n">
        <f aca="false">IF(OR(D139="",E139=""),1,MAX(1,DATEVALUE(E139)-DATEVALUE(D139)))</f>
        <v>3</v>
      </c>
      <c r="G139" s="11" t="n">
        <v>45415</v>
      </c>
      <c r="H139" s="11" t="n">
        <v>50428</v>
      </c>
      <c r="I139" s="11"/>
      <c r="J139" s="11"/>
      <c r="K139" s="11"/>
      <c r="L139" s="12" t="n">
        <v>604.15</v>
      </c>
      <c r="M139" s="13" t="n">
        <v>0.2</v>
      </c>
      <c r="N139" s="14" t="n">
        <f aca="false">IF(G139="","",G139/F139)</f>
        <v>15138.3333333333</v>
      </c>
      <c r="O139" s="14" t="n">
        <f aca="false">IF(COUNT(H139:K139)=0,"",MIN(H139:K139)/F139)</f>
        <v>16809.3333333333</v>
      </c>
      <c r="P139" s="14" t="n">
        <f aca="false">IF(L139="","",L139*95/F139)</f>
        <v>19131.4166666667</v>
      </c>
      <c r="Q139" s="15" t="n">
        <f aca="false">IF(OR(N139="",O139=""),"",(IF(AND(N139&gt;7500,O139&gt;7500),O139/(1+IF(O139&lt;=1000,0,IF(O139&lt;=7500,0.05,0.18)))-IF(AND(N139&gt;7500,O139&gt;7500),N139/1.18,N139),(O139-IF(AND(N139&gt;7500,O139&gt;7500),N139/1.18,N139))/(1+IF(O139&lt;=1000,0,IF(O139&lt;=7500,0.05,0.18)))))/(IF(AND(N139&gt;7500,O139&gt;7500),N139/1.18,N139)))</f>
        <v>0.11038203236816</v>
      </c>
      <c r="R139" s="15" t="n">
        <f aca="false">IF(OR(N139="",O139=""),"",((O139-N139)/1.18)/N139)</f>
        <v>0.0935440952272544</v>
      </c>
      <c r="S139" s="15" t="n">
        <f aca="false">IF(OR(P139="",O139=""),"",(P139-O139)/O139)</f>
        <v>0.138142500198303</v>
      </c>
      <c r="T139" s="9" t="str">
        <f aca="false">IF(AND(D139="",G139&lt;&gt;""),"no dates - assumed 1 night",IF(Q139="","",IF(Q139&gt;1.5,"check: markup &gt;150%",IF(Q139&lt;0,"below cost",""))))</f>
        <v/>
      </c>
    </row>
    <row r="140" customFormat="false" ht="15" hidden="false" customHeight="false" outlineLevel="0" collapsed="false">
      <c r="A140" s="9" t="s">
        <v>9</v>
      </c>
      <c r="B140" s="9" t="s">
        <v>84</v>
      </c>
      <c r="C140" s="9" t="s">
        <v>54</v>
      </c>
      <c r="D140" s="10" t="s">
        <v>55</v>
      </c>
      <c r="E140" s="10" t="s">
        <v>56</v>
      </c>
      <c r="F140" s="9" t="n">
        <f aca="false">IF(OR(D140="",E140=""),1,MAX(1,DATEVALUE(E140)-DATEVALUE(D140)))</f>
        <v>3</v>
      </c>
      <c r="G140" s="11" t="n">
        <v>19075</v>
      </c>
      <c r="H140" s="11" t="n">
        <v>18984</v>
      </c>
      <c r="I140" s="11"/>
      <c r="J140" s="11"/>
      <c r="K140" s="11"/>
      <c r="L140" s="12" t="n">
        <v>274.53</v>
      </c>
      <c r="M140" s="13" t="n">
        <v>0.21</v>
      </c>
      <c r="N140" s="14" t="n">
        <f aca="false">IF(G140="","",G140/F140)</f>
        <v>6358.33333333333</v>
      </c>
      <c r="O140" s="14" t="n">
        <f aca="false">IF(COUNT(H140:K140)=0,"",MIN(H140:K140)/F140)</f>
        <v>6328</v>
      </c>
      <c r="P140" s="14" t="n">
        <f aca="false">IF(L140="","",L140*95/F140)</f>
        <v>8693.45</v>
      </c>
      <c r="Q140" s="15" t="n">
        <f aca="false">IF(OR(N140="",O140=""),"",(IF(AND(N140&gt;7500,O140&gt;7500),O140/(1+IF(O140&lt;=1000,0,IF(O140&lt;=7500,0.05,0.18)))-IF(AND(N140&gt;7500,O140&gt;7500),N140/1.18,N140),(O140-IF(AND(N140&gt;7500,O140&gt;7500),N140/1.18,N140))/(1+IF(O140&lt;=1000,0,IF(O140&lt;=7500,0.05,0.18)))))/(IF(AND(N140&gt;7500,O140&gt;7500),N140/1.18,N140)))</f>
        <v>-0.0045434687636522</v>
      </c>
      <c r="R140" s="15" t="n">
        <f aca="false">IF(OR(N140="",O140=""),"",((O140-N140)/1.18)/N140)</f>
        <v>-0.004042917120199</v>
      </c>
      <c r="S140" s="15" t="n">
        <f aca="false">IF(OR(P140="",O140=""),"",(P140-O140)/O140)</f>
        <v>0.373806890012642</v>
      </c>
      <c r="T140" s="9" t="str">
        <f aca="false">IF(AND(D140="",G140&lt;&gt;""),"no dates - assumed 1 night",IF(Q140="","",IF(Q140&gt;1.5,"check: markup &gt;150%",IF(Q140&lt;0,"below cost",""))))</f>
        <v>below cost</v>
      </c>
    </row>
    <row r="141" customFormat="false" ht="15" hidden="false" customHeight="false" outlineLevel="0" collapsed="false">
      <c r="A141" s="9" t="s">
        <v>9</v>
      </c>
      <c r="B141" s="9" t="s">
        <v>85</v>
      </c>
      <c r="C141" s="9" t="s">
        <v>41</v>
      </c>
      <c r="D141" s="10" t="s">
        <v>42</v>
      </c>
      <c r="E141" s="10" t="s">
        <v>43</v>
      </c>
      <c r="F141" s="9" t="n">
        <f aca="false">IF(OR(D141="",E141=""),1,MAX(1,DATEVALUE(E141)-DATEVALUE(D141)))</f>
        <v>3</v>
      </c>
      <c r="G141" s="11" t="n">
        <v>8948</v>
      </c>
      <c r="H141" s="11" t="n">
        <v>11558</v>
      </c>
      <c r="I141" s="11"/>
      <c r="J141" s="11"/>
      <c r="K141" s="11"/>
      <c r="L141" s="12"/>
      <c r="M141" s="13"/>
      <c r="N141" s="14" t="n">
        <f aca="false">IF(G141="","",G141/F141)</f>
        <v>2982.66666666667</v>
      </c>
      <c r="O141" s="14" t="n">
        <f aca="false">IF(COUNT(H141:K141)=0,"",MIN(H141:K141)/F141)</f>
        <v>3852.66666666667</v>
      </c>
      <c r="P141" s="14" t="str">
        <f aca="false">IF(L141="","",L141*95/F141)</f>
        <v/>
      </c>
      <c r="Q141" s="15" t="n">
        <f aca="false">IF(OR(N141="",O141=""),"",(IF(AND(N141&gt;7500,O141&gt;7500),O141/(1+IF(O141&lt;=1000,0,IF(O141&lt;=7500,0.05,0.18)))-IF(AND(N141&gt;7500,O141&gt;7500),N141/1.18,N141),(O141-IF(AND(N141&gt;7500,O141&gt;7500),N141/1.18,N141))/(1+IF(O141&lt;=1000,0,IF(O141&lt;=7500,0.05,0.18)))))/(IF(AND(N141&gt;7500,O141&gt;7500),N141/1.18,N141)))</f>
        <v>0.277795516955106</v>
      </c>
      <c r="R141" s="15" t="n">
        <f aca="false">IF(OR(N141="",O141=""),"",((O141-N141)/1.18)/N141)</f>
        <v>0.24719092610412</v>
      </c>
      <c r="S141" s="15" t="str">
        <f aca="false">IF(OR(P141="",O141=""),"",(P141-O141)/O141)</f>
        <v/>
      </c>
      <c r="T141" s="9" t="str">
        <f aca="false">IF(AND(D141="",G141&lt;&gt;""),"no dates - assumed 1 night",IF(Q141="","",IF(Q141&gt;1.5,"check: markup &gt;150%",IF(Q141&lt;0,"below cost",""))))</f>
        <v/>
      </c>
    </row>
    <row r="142" customFormat="false" ht="15" hidden="false" customHeight="false" outlineLevel="0" collapsed="false">
      <c r="A142" s="9" t="s">
        <v>9</v>
      </c>
      <c r="B142" s="9" t="s">
        <v>85</v>
      </c>
      <c r="C142" s="9" t="s">
        <v>44</v>
      </c>
      <c r="D142" s="10" t="s">
        <v>45</v>
      </c>
      <c r="E142" s="10" t="s">
        <v>46</v>
      </c>
      <c r="F142" s="9" t="n">
        <f aca="false">IF(OR(D142="",E142=""),1,MAX(1,DATEVALUE(E142)-DATEVALUE(D142)))</f>
        <v>3</v>
      </c>
      <c r="G142" s="11" t="n">
        <v>10393</v>
      </c>
      <c r="H142" s="11" t="n">
        <v>11208</v>
      </c>
      <c r="I142" s="11"/>
      <c r="J142" s="11"/>
      <c r="K142" s="11"/>
      <c r="L142" s="12"/>
      <c r="M142" s="13"/>
      <c r="N142" s="14" t="n">
        <f aca="false">IF(G142="","",G142/F142)</f>
        <v>3464.33333333333</v>
      </c>
      <c r="O142" s="14" t="n">
        <f aca="false">IF(COUNT(H142:K142)=0,"",MIN(H142:K142)/F142)</f>
        <v>3736</v>
      </c>
      <c r="P142" s="14" t="str">
        <f aca="false">IF(L142="","",L142*95/F142)</f>
        <v/>
      </c>
      <c r="Q142" s="15" t="n">
        <f aca="false">IF(OR(N142="",O142=""),"",(IF(AND(N142&gt;7500,O142&gt;7500),O142/(1+IF(O142&lt;=1000,0,IF(O142&lt;=7500,0.05,0.18)))-IF(AND(N142&gt;7500,O142&gt;7500),N142/1.18,N142),(O142-IF(AND(N142&gt;7500,O142&gt;7500),N142/1.18,N142))/(1+IF(O142&lt;=1000,0,IF(O142&lt;=7500,0.05,0.18)))))/(IF(AND(N142&gt;7500,O142&gt;7500),N142/1.18,N142)))</f>
        <v>0.0746839676888748</v>
      </c>
      <c r="R142" s="15" t="n">
        <f aca="false">IF(OR(N142="",O142=""),"",((O142-N142)/1.18)/N142)</f>
        <v>0.0664560729434903</v>
      </c>
      <c r="S142" s="15" t="str">
        <f aca="false">IF(OR(P142="",O142=""),"",(P142-O142)/O142)</f>
        <v/>
      </c>
      <c r="T142" s="9" t="str">
        <f aca="false">IF(AND(D142="",G142&lt;&gt;""),"no dates - assumed 1 night",IF(Q142="","",IF(Q142&gt;1.5,"check: markup &gt;150%",IF(Q142&lt;0,"below cost",""))))</f>
        <v/>
      </c>
    </row>
    <row r="143" customFormat="false" ht="15" hidden="false" customHeight="false" outlineLevel="0" collapsed="false">
      <c r="A143" s="9" t="s">
        <v>9</v>
      </c>
      <c r="B143" s="9" t="s">
        <v>85</v>
      </c>
      <c r="C143" s="9" t="s">
        <v>47</v>
      </c>
      <c r="D143" s="10" t="s">
        <v>48</v>
      </c>
      <c r="E143" s="10" t="s">
        <v>49</v>
      </c>
      <c r="F143" s="9" t="n">
        <f aca="false">IF(OR(D143="",E143=""),1,MAX(1,DATEVALUE(E143)-DATEVALUE(D143)))</f>
        <v>3</v>
      </c>
      <c r="G143" s="11" t="n">
        <v>16404</v>
      </c>
      <c r="H143" s="11" t="n">
        <v>17838</v>
      </c>
      <c r="I143" s="11"/>
      <c r="J143" s="11"/>
      <c r="K143" s="11"/>
      <c r="L143" s="12"/>
      <c r="M143" s="13"/>
      <c r="N143" s="14" t="n">
        <f aca="false">IF(G143="","",G143/F143)</f>
        <v>5468</v>
      </c>
      <c r="O143" s="14" t="n">
        <f aca="false">IF(COUNT(H143:K143)=0,"",MIN(H143:K143)/F143)</f>
        <v>5946</v>
      </c>
      <c r="P143" s="14" t="str">
        <f aca="false">IF(L143="","",L143*95/F143)</f>
        <v/>
      </c>
      <c r="Q143" s="15" t="n">
        <f aca="false">IF(OR(N143="",O143=""),"",(IF(AND(N143&gt;7500,O143&gt;7500),O143/(1+IF(O143&lt;=1000,0,IF(O143&lt;=7500,0.05,0.18)))-IF(AND(N143&gt;7500,O143&gt;7500),N143/1.18,N143),(O143-IF(AND(N143&gt;7500,O143&gt;7500),N143/1.18,N143))/(1+IF(O143&lt;=1000,0,IF(O143&lt;=7500,0.05,0.18)))))/(IF(AND(N143&gt;7500,O143&gt;7500),N143/1.18,N143)))</f>
        <v>0.0832549552373986</v>
      </c>
      <c r="R143" s="15" t="n">
        <f aca="false">IF(OR(N143="",O143=""),"",((O143-N143)/1.18)/N143)</f>
        <v>0.0740827991519224</v>
      </c>
      <c r="S143" s="15" t="str">
        <f aca="false">IF(OR(P143="",O143=""),"",(P143-O143)/O143)</f>
        <v/>
      </c>
      <c r="T143" s="9" t="str">
        <f aca="false">IF(AND(D143="",G143&lt;&gt;""),"no dates - assumed 1 night",IF(Q143="","",IF(Q143&gt;1.5,"check: markup &gt;150%",IF(Q143&lt;0,"below cost",""))))</f>
        <v/>
      </c>
    </row>
    <row r="144" customFormat="false" ht="15" hidden="false" customHeight="false" outlineLevel="0" collapsed="false">
      <c r="A144" s="9" t="s">
        <v>9</v>
      </c>
      <c r="B144" s="9" t="s">
        <v>85</v>
      </c>
      <c r="C144" s="9" t="s">
        <v>54</v>
      </c>
      <c r="D144" s="10" t="s">
        <v>55</v>
      </c>
      <c r="E144" s="10" t="s">
        <v>56</v>
      </c>
      <c r="F144" s="9" t="n">
        <f aca="false">IF(OR(D144="",E144=""),1,MAX(1,DATEVALUE(E144)-DATEVALUE(D144)))</f>
        <v>3</v>
      </c>
      <c r="G144" s="11" t="n">
        <v>16404</v>
      </c>
      <c r="H144" s="11" t="n">
        <v>17838</v>
      </c>
      <c r="I144" s="11"/>
      <c r="J144" s="11"/>
      <c r="K144" s="11"/>
      <c r="L144" s="12"/>
      <c r="M144" s="13"/>
      <c r="N144" s="14" t="n">
        <f aca="false">IF(G144="","",G144/F144)</f>
        <v>5468</v>
      </c>
      <c r="O144" s="14" t="n">
        <f aca="false">IF(COUNT(H144:K144)=0,"",MIN(H144:K144)/F144)</f>
        <v>5946</v>
      </c>
      <c r="P144" s="14" t="str">
        <f aca="false">IF(L144="","",L144*95/F144)</f>
        <v/>
      </c>
      <c r="Q144" s="15" t="n">
        <f aca="false">IF(OR(N144="",O144=""),"",(IF(AND(N144&gt;7500,O144&gt;7500),O144/(1+IF(O144&lt;=1000,0,IF(O144&lt;=7500,0.05,0.18)))-IF(AND(N144&gt;7500,O144&gt;7500),N144/1.18,N144),(O144-IF(AND(N144&gt;7500,O144&gt;7500),N144/1.18,N144))/(1+IF(O144&lt;=1000,0,IF(O144&lt;=7500,0.05,0.18)))))/(IF(AND(N144&gt;7500,O144&gt;7500),N144/1.18,N144)))</f>
        <v>0.0832549552373986</v>
      </c>
      <c r="R144" s="15" t="n">
        <f aca="false">IF(OR(N144="",O144=""),"",((O144-N144)/1.18)/N144)</f>
        <v>0.0740827991519224</v>
      </c>
      <c r="S144" s="15" t="str">
        <f aca="false">IF(OR(P144="",O144=""),"",(P144-O144)/O144)</f>
        <v/>
      </c>
      <c r="T144" s="9" t="str">
        <f aca="false">IF(AND(D144="",G144&lt;&gt;""),"no dates - assumed 1 night",IF(Q144="","",IF(Q144&gt;1.5,"check: markup &gt;150%",IF(Q144&lt;0,"below cost",""))))</f>
        <v/>
      </c>
    </row>
    <row r="146" customFormat="false" ht="15" hidden="false" customHeight="false" outlineLevel="0" collapsed="false">
      <c r="A146" s="2" t="s">
        <v>86</v>
      </c>
    </row>
  </sheetData>
  <autoFilter ref="A1:T1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11" min="7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9" min="17" style="0" width="10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8" t="s">
        <v>2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2" customFormat="false" ht="15" hidden="false" customHeight="false" outlineLevel="0" collapsed="false">
      <c r="A2" s="9" t="s">
        <v>10</v>
      </c>
      <c r="B2" s="9" t="s">
        <v>87</v>
      </c>
      <c r="C2" s="9" t="s">
        <v>41</v>
      </c>
      <c r="D2" s="10" t="s">
        <v>88</v>
      </c>
      <c r="E2" s="10" t="s">
        <v>43</v>
      </c>
      <c r="F2" s="9" t="n">
        <f aca="false">IF(OR(D2="",E2=""),1,MAX(1,DATEVALUE(E2)-DATEVALUE(D2)))</f>
        <v>2</v>
      </c>
      <c r="G2" s="11" t="n">
        <v>21929</v>
      </c>
      <c r="H2" s="11" t="n">
        <v>25639</v>
      </c>
      <c r="I2" s="11"/>
      <c r="J2" s="11"/>
      <c r="K2" s="11"/>
      <c r="L2" s="12"/>
      <c r="M2" s="13"/>
      <c r="N2" s="14" t="n">
        <f aca="false">IF(G2="","",G2/F2)</f>
        <v>10964.5</v>
      </c>
      <c r="O2" s="14" t="n">
        <f aca="false">IF(COUNT(H2:K2)=0,"",MIN(H2:K2)/F2)</f>
        <v>12819.5</v>
      </c>
      <c r="P2" s="14" t="str">
        <f aca="false">IF(L2="","",L2*95/F2)</f>
        <v/>
      </c>
      <c r="Q2" s="15" t="n">
        <f aca="false">IF(OR(N2="",O2=""),"",(IF(AND(N2&gt;7500,O2&gt;7500),O2/(1+IF(O2&lt;=1000,0,IF(O2&lt;=7500,0.05,0.18)))-IF(AND(N2&gt;7500,O2&gt;7500),N2/1.18,N2),(O2-IF(AND(N2&gt;7500,O2&gt;7500),N2/1.18,N2))/(1+IF(O2&lt;=1000,0,IF(O2&lt;=7500,0.05,0.18)))))/(IF(AND(N2&gt;7500,O2&gt;7500),N2/1.18,N2)))</f>
        <v>0.169182361256783</v>
      </c>
      <c r="R2" s="15" t="n">
        <f aca="false">IF(OR(N2="",O2=""),"",((O2-N2)/1.18)/N2)</f>
        <v>0.143374882421003</v>
      </c>
      <c r="S2" s="15" t="str">
        <f aca="false">IF(OR(P2="",O2=""),"",(P2-O2)/O2)</f>
        <v/>
      </c>
      <c r="T2" s="9" t="str">
        <f aca="false">IF(AND(D2="",G2&lt;&gt;""),"no dates - assumed 1 night",IF(Q2="","",IF(Q2&gt;1.5,"check: markup &gt;150%",IF(Q2&lt;0,"below cost",""))))</f>
        <v/>
      </c>
    </row>
    <row r="3" customFormat="false" ht="15" hidden="false" customHeight="false" outlineLevel="0" collapsed="false">
      <c r="A3" s="9" t="s">
        <v>10</v>
      </c>
      <c r="B3" s="9" t="s">
        <v>87</v>
      </c>
      <c r="C3" s="9" t="s">
        <v>44</v>
      </c>
      <c r="D3" s="10" t="s">
        <v>45</v>
      </c>
      <c r="E3" s="10" t="s">
        <v>89</v>
      </c>
      <c r="F3" s="9" t="n">
        <f aca="false">IF(OR(D3="",E3=""),1,MAX(1,DATEVALUE(E3)-DATEVALUE(D3)))</f>
        <v>2</v>
      </c>
      <c r="G3" s="11" t="n">
        <v>20872</v>
      </c>
      <c r="H3" s="11" t="n">
        <v>24341</v>
      </c>
      <c r="I3" s="11"/>
      <c r="J3" s="11"/>
      <c r="K3" s="11"/>
      <c r="L3" s="12"/>
      <c r="M3" s="13"/>
      <c r="N3" s="14" t="n">
        <f aca="false">IF(G3="","",G3/F3)</f>
        <v>10436</v>
      </c>
      <c r="O3" s="14" t="n">
        <f aca="false">IF(COUNT(H3:K3)=0,"",MIN(H3:K3)/F3)</f>
        <v>12170.5</v>
      </c>
      <c r="P3" s="14" t="str">
        <f aca="false">IF(L3="","",L3*95/F3)</f>
        <v/>
      </c>
      <c r="Q3" s="15" t="n">
        <f aca="false">IF(OR(N3="",O3=""),"",(IF(AND(N3&gt;7500,O3&gt;7500),O3/(1+IF(O3&lt;=1000,0,IF(O3&lt;=7500,0.05,0.18)))-IF(AND(N3&gt;7500,O3&gt;7500),N3/1.18,N3),(O3-IF(AND(N3&gt;7500,O3&gt;7500),N3/1.18,N3))/(1+IF(O3&lt;=1000,0,IF(O3&lt;=7500,0.05,0.18)))))/(IF(AND(N3&gt;7500,O3&gt;7500),N3/1.18,N3)))</f>
        <v>0.16620352625527</v>
      </c>
      <c r="R3" s="15" t="n">
        <f aca="false">IF(OR(N3="",O3=""),"",((O3-N3)/1.18)/N3)</f>
        <v>0.140850445979043</v>
      </c>
      <c r="S3" s="15" t="str">
        <f aca="false">IF(OR(P3="",O3=""),"",(P3-O3)/O3)</f>
        <v/>
      </c>
      <c r="T3" s="9" t="str">
        <f aca="false">IF(AND(D3="",G3&lt;&gt;""),"no dates - assumed 1 night",IF(Q3="","",IF(Q3&gt;1.5,"check: markup &gt;150%",IF(Q3&lt;0,"below cost",""))))</f>
        <v/>
      </c>
    </row>
    <row r="4" customFormat="false" ht="15" hidden="false" customHeight="false" outlineLevel="0" collapsed="false">
      <c r="A4" s="9" t="s">
        <v>10</v>
      </c>
      <c r="B4" s="9" t="s">
        <v>87</v>
      </c>
      <c r="C4" s="9" t="s">
        <v>47</v>
      </c>
      <c r="D4" s="10" t="s">
        <v>90</v>
      </c>
      <c r="E4" s="10" t="s">
        <v>91</v>
      </c>
      <c r="F4" s="9" t="n">
        <f aca="false">IF(OR(D4="",E4=""),1,MAX(1,DATEVALUE(E4)-DATEVALUE(D4)))</f>
        <v>1</v>
      </c>
      <c r="G4" s="11" t="n">
        <v>10211</v>
      </c>
      <c r="H4" s="11" t="n">
        <v>11935</v>
      </c>
      <c r="I4" s="11"/>
      <c r="J4" s="11"/>
      <c r="K4" s="11"/>
      <c r="L4" s="12"/>
      <c r="M4" s="13"/>
      <c r="N4" s="14" t="n">
        <f aca="false">IF(G4="","",G4/F4)</f>
        <v>10211</v>
      </c>
      <c r="O4" s="14" t="n">
        <f aca="false">IF(COUNT(H4:K4)=0,"",MIN(H4:K4)/F4)</f>
        <v>11935</v>
      </c>
      <c r="P4" s="14" t="str">
        <f aca="false">IF(L4="","",L4*95/F4)</f>
        <v/>
      </c>
      <c r="Q4" s="15" t="n">
        <f aca="false">IF(OR(N4="",O4=""),"",(IF(AND(N4&gt;7500,O4&gt;7500),O4/(1+IF(O4&lt;=1000,0,IF(O4&lt;=7500,0.05,0.18)))-IF(AND(N4&gt;7500,O4&gt;7500),N4/1.18,N4),(O4-IF(AND(N4&gt;7500,O4&gt;7500),N4/1.18,N4))/(1+IF(O4&lt;=1000,0,IF(O4&lt;=7500,0.05,0.18)))))/(IF(AND(N4&gt;7500,O4&gt;7500),N4/1.18,N4)))</f>
        <v>0.16883752815591</v>
      </c>
      <c r="R4" s="15" t="n">
        <f aca="false">IF(OR(N4="",O4=""),"",((O4-N4)/1.18)/N4)</f>
        <v>0.143082650979585</v>
      </c>
      <c r="S4" s="15" t="str">
        <f aca="false">IF(OR(P4="",O4=""),"",(P4-O4)/O4)</f>
        <v/>
      </c>
      <c r="T4" s="9" t="str">
        <f aca="false">IF(AND(D4="",G4&lt;&gt;""),"no dates - assumed 1 night",IF(Q4="","",IF(Q4&gt;1.5,"check: markup &gt;150%",IF(Q4&lt;0,"below cost",""))))</f>
        <v/>
      </c>
    </row>
    <row r="5" customFormat="false" ht="15" hidden="false" customHeight="false" outlineLevel="0" collapsed="false">
      <c r="A5" s="9" t="s">
        <v>10</v>
      </c>
      <c r="B5" s="9" t="s">
        <v>87</v>
      </c>
      <c r="C5" s="9" t="s">
        <v>50</v>
      </c>
      <c r="D5" s="10" t="s">
        <v>92</v>
      </c>
      <c r="E5" s="10" t="s">
        <v>93</v>
      </c>
      <c r="F5" s="9" t="n">
        <f aca="false">IF(OR(D5="",E5=""),1,MAX(1,DATEVALUE(E5)-DATEVALUE(D5)))</f>
        <v>1</v>
      </c>
      <c r="G5" s="11" t="n">
        <v>9538</v>
      </c>
      <c r="H5" s="11" t="n">
        <v>10755</v>
      </c>
      <c r="I5" s="11"/>
      <c r="J5" s="11"/>
      <c r="K5" s="11"/>
      <c r="L5" s="12"/>
      <c r="M5" s="13"/>
      <c r="N5" s="14" t="n">
        <f aca="false">IF(G5="","",G5/F5)</f>
        <v>9538</v>
      </c>
      <c r="O5" s="14" t="n">
        <f aca="false">IF(COUNT(H5:K5)=0,"",MIN(H5:K5)/F5)</f>
        <v>10755</v>
      </c>
      <c r="P5" s="14" t="str">
        <f aca="false">IF(L5="","",L5*95/F5)</f>
        <v/>
      </c>
      <c r="Q5" s="15" t="n">
        <f aca="false">IF(OR(N5="",O5=""),"",(IF(AND(N5&gt;7500,O5&gt;7500),O5/(1+IF(O5&lt;=1000,0,IF(O5&lt;=7500,0.05,0.18)))-IF(AND(N5&gt;7500,O5&gt;7500),N5/1.18,N5),(O5-IF(AND(N5&gt;7500,O5&gt;7500),N5/1.18,N5))/(1+IF(O5&lt;=1000,0,IF(O5&lt;=7500,0.05,0.18)))))/(IF(AND(N5&gt;7500,O5&gt;7500),N5/1.18,N5)))</f>
        <v>0.127594883623401</v>
      </c>
      <c r="R5" s="15" t="n">
        <f aca="false">IF(OR(N5="",O5=""),"",((O5-N5)/1.18)/N5)</f>
        <v>0.108131257307967</v>
      </c>
      <c r="S5" s="15" t="str">
        <f aca="false">IF(OR(P5="",O5=""),"",(P5-O5)/O5)</f>
        <v/>
      </c>
      <c r="T5" s="9" t="str">
        <f aca="false">IF(AND(D5="",G5&lt;&gt;""),"no dates - assumed 1 night",IF(Q5="","",IF(Q5&gt;1.5,"check: markup &gt;150%",IF(Q5&lt;0,"below cost",""))))</f>
        <v/>
      </c>
    </row>
    <row r="6" customFormat="false" ht="15" hidden="false" customHeight="false" outlineLevel="0" collapsed="false">
      <c r="A6" s="9" t="s">
        <v>10</v>
      </c>
      <c r="B6" s="9" t="s">
        <v>94</v>
      </c>
      <c r="C6" s="9" t="s">
        <v>44</v>
      </c>
      <c r="D6" s="10" t="s">
        <v>45</v>
      </c>
      <c r="E6" s="10" t="s">
        <v>89</v>
      </c>
      <c r="F6" s="9" t="n">
        <f aca="false">IF(OR(D6="",E6=""),1,MAX(1,DATEVALUE(E6)-DATEVALUE(D6)))</f>
        <v>2</v>
      </c>
      <c r="G6" s="11" t="n">
        <v>24214</v>
      </c>
      <c r="H6" s="11" t="n">
        <v>22123</v>
      </c>
      <c r="I6" s="11"/>
      <c r="J6" s="11"/>
      <c r="K6" s="11"/>
      <c r="L6" s="12"/>
      <c r="M6" s="13"/>
      <c r="N6" s="14" t="n">
        <f aca="false">IF(G6="","",G6/F6)</f>
        <v>12107</v>
      </c>
      <c r="O6" s="14" t="n">
        <f aca="false">IF(COUNT(H6:K6)=0,"",MIN(H6:K6)/F6)</f>
        <v>11061.5</v>
      </c>
      <c r="P6" s="14" t="str">
        <f aca="false">IF(L6="","",L6*95/F6)</f>
        <v/>
      </c>
      <c r="Q6" s="15" t="n">
        <f aca="false">IF(OR(N6="",O6=""),"",(IF(AND(N6&gt;7500,O6&gt;7500),O6/(1+IF(O6&lt;=1000,0,IF(O6&lt;=7500,0.05,0.18)))-IF(AND(N6&gt;7500,O6&gt;7500),N6/1.18,N6),(O6-IF(AND(N6&gt;7500,O6&gt;7500),N6/1.18,N6))/(1+IF(O6&lt;=1000,0,IF(O6&lt;=7500,0.05,0.18)))))/(IF(AND(N6&gt;7500,O6&gt;7500),N6/1.18,N6)))</f>
        <v>-0.0863550012389527</v>
      </c>
      <c r="R6" s="15" t="n">
        <f aca="false">IF(OR(N6="",O6=""),"",((O6-N6)/1.18)/N6)</f>
        <v>-0.0731822044397904</v>
      </c>
      <c r="S6" s="15" t="str">
        <f aca="false">IF(OR(P6="",O6=""),"",(P6-O6)/O6)</f>
        <v/>
      </c>
      <c r="T6" s="9" t="str">
        <f aca="false">IF(AND(D6="",G6&lt;&gt;""),"no dates - assumed 1 night",IF(Q6="","",IF(Q6&gt;1.5,"check: markup &gt;150%",IF(Q6&lt;0,"below cost",""))))</f>
        <v>below cost</v>
      </c>
    </row>
    <row r="7" customFormat="false" ht="15" hidden="false" customHeight="false" outlineLevel="0" collapsed="false">
      <c r="A7" s="9" t="s">
        <v>10</v>
      </c>
      <c r="B7" s="9" t="s">
        <v>94</v>
      </c>
      <c r="C7" s="9" t="s">
        <v>47</v>
      </c>
      <c r="D7" s="10" t="s">
        <v>90</v>
      </c>
      <c r="E7" s="10" t="s">
        <v>91</v>
      </c>
      <c r="F7" s="9" t="n">
        <f aca="false">IF(OR(D7="",E7=""),1,MAX(1,DATEVALUE(E7)-DATEVALUE(D7)))</f>
        <v>1</v>
      </c>
      <c r="G7" s="11" t="n">
        <v>13721</v>
      </c>
      <c r="H7" s="11" t="n">
        <v>13717</v>
      </c>
      <c r="I7" s="11"/>
      <c r="J7" s="11"/>
      <c r="K7" s="11"/>
      <c r="L7" s="12"/>
      <c r="M7" s="13"/>
      <c r="N7" s="14" t="n">
        <f aca="false">IF(G7="","",G7/F7)</f>
        <v>13721</v>
      </c>
      <c r="O7" s="14" t="n">
        <f aca="false">IF(COUNT(H7:K7)=0,"",MIN(H7:K7)/F7)</f>
        <v>13717</v>
      </c>
      <c r="P7" s="14" t="str">
        <f aca="false">IF(L7="","",L7*95/F7)</f>
        <v/>
      </c>
      <c r="Q7" s="15" t="n">
        <f aca="false">IF(OR(N7="",O7=""),"",(IF(AND(N7&gt;7500,O7&gt;7500),O7/(1+IF(O7&lt;=1000,0,IF(O7&lt;=7500,0.05,0.18)))-IF(AND(N7&gt;7500,O7&gt;7500),N7/1.18,N7),(O7-IF(AND(N7&gt;7500,O7&gt;7500),N7/1.18,N7))/(1+IF(O7&lt;=1000,0,IF(O7&lt;=7500,0.05,0.18)))))/(IF(AND(N7&gt;7500,O7&gt;7500),N7/1.18,N7)))</f>
        <v>-0.000291523941403717</v>
      </c>
      <c r="R7" s="15" t="n">
        <f aca="false">IF(OR(N7="",O7=""),"",((O7-N7)/1.18)/N7)</f>
        <v>-0.000247054187630244</v>
      </c>
      <c r="S7" s="15" t="str">
        <f aca="false">IF(OR(P7="",O7=""),"",(P7-O7)/O7)</f>
        <v/>
      </c>
      <c r="T7" s="9" t="str">
        <f aca="false">IF(AND(D7="",G7&lt;&gt;""),"no dates - assumed 1 night",IF(Q7="","",IF(Q7&gt;1.5,"check: markup &gt;150%",IF(Q7&lt;0,"below cost",""))))</f>
        <v>below cost</v>
      </c>
    </row>
    <row r="8" customFormat="false" ht="15" hidden="false" customHeight="false" outlineLevel="0" collapsed="false">
      <c r="A8" s="9" t="s">
        <v>10</v>
      </c>
      <c r="B8" s="9" t="s">
        <v>94</v>
      </c>
      <c r="C8" s="9" t="s">
        <v>50</v>
      </c>
      <c r="D8" s="10" t="s">
        <v>92</v>
      </c>
      <c r="E8" s="10" t="s">
        <v>93</v>
      </c>
      <c r="F8" s="9" t="n">
        <f aca="false">IF(OR(D8="",E8=""),1,MAX(1,DATEVALUE(E8)-DATEVALUE(D8)))</f>
        <v>1</v>
      </c>
      <c r="G8" s="11" t="n">
        <v>12914</v>
      </c>
      <c r="H8" s="11" t="n">
        <v>11947</v>
      </c>
      <c r="I8" s="11"/>
      <c r="J8" s="11"/>
      <c r="K8" s="11"/>
      <c r="L8" s="12"/>
      <c r="M8" s="13"/>
      <c r="N8" s="14" t="n">
        <f aca="false">IF(G8="","",G8/F8)</f>
        <v>12914</v>
      </c>
      <c r="O8" s="14" t="n">
        <f aca="false">IF(COUNT(H8:K8)=0,"",MIN(H8:K8)/F8)</f>
        <v>11947</v>
      </c>
      <c r="P8" s="14" t="str">
        <f aca="false">IF(L8="","",L8*95/F8)</f>
        <v/>
      </c>
      <c r="Q8" s="15" t="n">
        <f aca="false">IF(OR(N8="",O8=""),"",(IF(AND(N8&gt;7500,O8&gt;7500),O8/(1+IF(O8&lt;=1000,0,IF(O8&lt;=7500,0.05,0.18)))-IF(AND(N8&gt;7500,O8&gt;7500),N8/1.18,N8),(O8-IF(AND(N8&gt;7500,O8&gt;7500),N8/1.18,N8))/(1+IF(O8&lt;=1000,0,IF(O8&lt;=7500,0.05,0.18)))))/(IF(AND(N8&gt;7500,O8&gt;7500),N8/1.18,N8)))</f>
        <v>-0.0748799752206908</v>
      </c>
      <c r="R8" s="15" t="n">
        <f aca="false">IF(OR(N8="",O8=""),"",((O8-N8)/1.18)/N8)</f>
        <v>-0.0634576061192294</v>
      </c>
      <c r="S8" s="15" t="str">
        <f aca="false">IF(OR(P8="",O8=""),"",(P8-O8)/O8)</f>
        <v/>
      </c>
      <c r="T8" s="9" t="str">
        <f aca="false">IF(AND(D8="",G8&lt;&gt;""),"no dates - assumed 1 night",IF(Q8="","",IF(Q8&gt;1.5,"check: markup &gt;150%",IF(Q8&lt;0,"below cost",""))))</f>
        <v>below cost</v>
      </c>
    </row>
    <row r="9" customFormat="false" ht="15" hidden="false" customHeight="false" outlineLevel="0" collapsed="false">
      <c r="A9" s="9" t="s">
        <v>10</v>
      </c>
      <c r="B9" s="9" t="s">
        <v>94</v>
      </c>
      <c r="C9" s="9" t="s">
        <v>54</v>
      </c>
      <c r="D9" s="10" t="s">
        <v>95</v>
      </c>
      <c r="E9" s="10" t="s">
        <v>96</v>
      </c>
      <c r="F9" s="9" t="n">
        <f aca="false">IF(OR(D9="",E9=""),1,MAX(1,DATEVALUE(E9)-DATEVALUE(D9)))</f>
        <v>2</v>
      </c>
      <c r="G9" s="11" t="n">
        <v>26190</v>
      </c>
      <c r="H9" s="11" t="n">
        <v>24070</v>
      </c>
      <c r="I9" s="11"/>
      <c r="J9" s="11"/>
      <c r="K9" s="11"/>
      <c r="L9" s="12"/>
      <c r="M9" s="13"/>
      <c r="N9" s="14" t="n">
        <f aca="false">IF(G9="","",G9/F9)</f>
        <v>13095</v>
      </c>
      <c r="O9" s="14" t="n">
        <f aca="false">IF(COUNT(H9:K9)=0,"",MIN(H9:K9)/F9)</f>
        <v>12035</v>
      </c>
      <c r="P9" s="14" t="str">
        <f aca="false">IF(L9="","",L9*95/F9)</f>
        <v/>
      </c>
      <c r="Q9" s="15" t="n">
        <f aca="false">IF(OR(N9="",O9=""),"",(IF(AND(N9&gt;7500,O9&gt;7500),O9/(1+IF(O9&lt;=1000,0,IF(O9&lt;=7500,0.05,0.18)))-IF(AND(N9&gt;7500,O9&gt;7500),N9/1.18,N9),(O9-IF(AND(N9&gt;7500,O9&gt;7500),N9/1.18,N9))/(1+IF(O9&lt;=1000,0,IF(O9&lt;=7500,0.05,0.18)))))/(IF(AND(N9&gt;7500,O9&gt;7500),N9/1.18,N9)))</f>
        <v>-0.0809469263077511</v>
      </c>
      <c r="R9" s="15" t="n">
        <f aca="false">IF(OR(N9="",O9=""),"",((O9-N9)/1.18)/N9)</f>
        <v>-0.0685990900913145</v>
      </c>
      <c r="S9" s="15" t="str">
        <f aca="false">IF(OR(P9="",O9=""),"",(P9-O9)/O9)</f>
        <v/>
      </c>
      <c r="T9" s="9" t="str">
        <f aca="false">IF(AND(D9="",G9&lt;&gt;""),"no dates - assumed 1 night",IF(Q9="","",IF(Q9&gt;1.5,"check: markup &gt;150%",IF(Q9&lt;0,"below cost",""))))</f>
        <v>below cost</v>
      </c>
    </row>
    <row r="10" customFormat="false" ht="15" hidden="false" customHeight="false" outlineLevel="0" collapsed="false">
      <c r="A10" s="9" t="s">
        <v>10</v>
      </c>
      <c r="B10" s="9" t="s">
        <v>97</v>
      </c>
      <c r="C10" s="9" t="s">
        <v>41</v>
      </c>
      <c r="D10" s="10" t="s">
        <v>88</v>
      </c>
      <c r="E10" s="10" t="s">
        <v>43</v>
      </c>
      <c r="F10" s="9" t="n">
        <f aca="false">IF(OR(D10="",E10=""),1,MAX(1,DATEVALUE(E10)-DATEVALUE(D10)))</f>
        <v>2</v>
      </c>
      <c r="G10" s="11" t="n">
        <v>43992</v>
      </c>
      <c r="H10" s="11" t="n">
        <v>48602</v>
      </c>
      <c r="I10" s="11"/>
      <c r="J10" s="11"/>
      <c r="K10" s="11"/>
      <c r="L10" s="12" t="n">
        <v>21</v>
      </c>
      <c r="M10" s="13"/>
      <c r="N10" s="14" t="n">
        <f aca="false">IF(G10="","",G10/F10)</f>
        <v>21996</v>
      </c>
      <c r="O10" s="14" t="n">
        <f aca="false">IF(COUNT(H10:K10)=0,"",MIN(H10:K10)/F10)</f>
        <v>24301</v>
      </c>
      <c r="P10" s="14" t="n">
        <f aca="false">IF(L10="","",L10*95/F10)</f>
        <v>997.5</v>
      </c>
      <c r="Q10" s="15" t="n">
        <f aca="false">IF(OR(N10="",O10=""),"",(IF(AND(N10&gt;7500,O10&gt;7500),O10/(1+IF(O10&lt;=1000,0,IF(O10&lt;=7500,0.05,0.18)))-IF(AND(N10&gt;7500,O10&gt;7500),N10/1.18,N10),(O10-IF(AND(N10&gt;7500,O10&gt;7500),N10/1.18,N10))/(1+IF(O10&lt;=1000,0,IF(O10&lt;=7500,0.05,0.18)))))/(IF(AND(N10&gt;7500,O10&gt;7500),N10/1.18,N10)))</f>
        <v>0.104791780323695</v>
      </c>
      <c r="R10" s="15" t="n">
        <f aca="false">IF(OR(N10="",O10=""),"",((O10-N10)/1.18)/N10)</f>
        <v>0.088806593494657</v>
      </c>
      <c r="S10" s="15" t="n">
        <f aca="false">IF(OR(P10="",O10=""),"",(P10-O10)/O10)</f>
        <v>-0.958952306489445</v>
      </c>
      <c r="T10" s="9" t="str">
        <f aca="false">IF(AND(D10="",G10&lt;&gt;""),"no dates - assumed 1 night",IF(Q10="","",IF(Q10&gt;1.5,"check: markup &gt;150%",IF(Q10&lt;0,"below cost",""))))</f>
        <v/>
      </c>
    </row>
    <row r="11" customFormat="false" ht="15" hidden="false" customHeight="false" outlineLevel="0" collapsed="false">
      <c r="A11" s="9" t="s">
        <v>10</v>
      </c>
      <c r="B11" s="9" t="s">
        <v>97</v>
      </c>
      <c r="C11" s="9" t="s">
        <v>44</v>
      </c>
      <c r="D11" s="10" t="s">
        <v>45</v>
      </c>
      <c r="E11" s="10" t="s">
        <v>89</v>
      </c>
      <c r="F11" s="9" t="n">
        <f aca="false">IF(OR(D11="",E11=""),1,MAX(1,DATEVALUE(E11)-DATEVALUE(D11)))</f>
        <v>2</v>
      </c>
      <c r="G11" s="11" t="n">
        <v>36658</v>
      </c>
      <c r="H11" s="11" t="n">
        <v>42007</v>
      </c>
      <c r="I11" s="11"/>
      <c r="J11" s="11"/>
      <c r="K11" s="11"/>
      <c r="L11" s="12"/>
      <c r="M11" s="13"/>
      <c r="N11" s="14" t="n">
        <f aca="false">IF(G11="","",G11/F11)</f>
        <v>18329</v>
      </c>
      <c r="O11" s="14" t="n">
        <f aca="false">IF(COUNT(H11:K11)=0,"",MIN(H11:K11)/F11)</f>
        <v>21003.5</v>
      </c>
      <c r="P11" s="14" t="str">
        <f aca="false">IF(L11="","",L11*95/F11)</f>
        <v/>
      </c>
      <c r="Q11" s="15" t="n">
        <f aca="false">IF(OR(N11="",O11=""),"",(IF(AND(N11&gt;7500,O11&gt;7500),O11/(1+IF(O11&lt;=1000,0,IF(O11&lt;=7500,0.05,0.18)))-IF(AND(N11&gt;7500,O11&gt;7500),N11/1.18,N11),(O11-IF(AND(N11&gt;7500,O11&gt;7500),N11/1.18,N11))/(1+IF(O11&lt;=1000,0,IF(O11&lt;=7500,0.05,0.18)))))/(IF(AND(N11&gt;7500,O11&gt;7500),N11/1.18,N11)))</f>
        <v>0.145916307490861</v>
      </c>
      <c r="R11" s="15" t="n">
        <f aca="false">IF(OR(N11="",O11=""),"",((O11-N11)/1.18)/N11)</f>
        <v>0.12365788770412</v>
      </c>
      <c r="S11" s="15" t="str">
        <f aca="false">IF(OR(P11="",O11=""),"",(P11-O11)/O11)</f>
        <v/>
      </c>
      <c r="T11" s="9" t="str">
        <f aca="false">IF(AND(D11="",G11&lt;&gt;""),"no dates - assumed 1 night",IF(Q11="","",IF(Q11&gt;1.5,"check: markup &gt;150%",IF(Q11&lt;0,"below cost",""))))</f>
        <v/>
      </c>
    </row>
    <row r="12" customFormat="false" ht="15" hidden="false" customHeight="false" outlineLevel="0" collapsed="false">
      <c r="A12" s="9" t="s">
        <v>10</v>
      </c>
      <c r="B12" s="9" t="s">
        <v>97</v>
      </c>
      <c r="C12" s="9" t="s">
        <v>47</v>
      </c>
      <c r="D12" s="10" t="s">
        <v>90</v>
      </c>
      <c r="E12" s="10" t="s">
        <v>91</v>
      </c>
      <c r="F12" s="9" t="n">
        <f aca="false">IF(OR(D12="",E12=""),1,MAX(1,DATEVALUE(E12)-DATEVALUE(D12)))</f>
        <v>1</v>
      </c>
      <c r="G12" s="11" t="n">
        <v>17218</v>
      </c>
      <c r="H12" s="11" t="n">
        <v>19905</v>
      </c>
      <c r="I12" s="11"/>
      <c r="J12" s="11"/>
      <c r="K12" s="11"/>
      <c r="L12" s="12"/>
      <c r="M12" s="13"/>
      <c r="N12" s="14" t="n">
        <f aca="false">IF(G12="","",G12/F12)</f>
        <v>17218</v>
      </c>
      <c r="O12" s="14" t="n">
        <f aca="false">IF(COUNT(H12:K12)=0,"",MIN(H12:K12)/F12)</f>
        <v>19905</v>
      </c>
      <c r="P12" s="14" t="str">
        <f aca="false">IF(L12="","",L12*95/F12)</f>
        <v/>
      </c>
      <c r="Q12" s="15" t="n">
        <f aca="false">IF(OR(N12="",O12=""),"",(IF(AND(N12&gt;7500,O12&gt;7500),O12/(1+IF(O12&lt;=1000,0,IF(O12&lt;=7500,0.05,0.18)))-IF(AND(N12&gt;7500,O12&gt;7500),N12/1.18,N12),(O12-IF(AND(N12&gt;7500,O12&gt;7500),N12/1.18,N12))/(1+IF(O12&lt;=1000,0,IF(O12&lt;=7500,0.05,0.18)))))/(IF(AND(N12&gt;7500,O12&gt;7500),N12/1.18,N12)))</f>
        <v>0.156057614124753</v>
      </c>
      <c r="R12" s="15" t="n">
        <f aca="false">IF(OR(N12="",O12=""),"",((O12-N12)/1.18)/N12)</f>
        <v>0.13225221535996</v>
      </c>
      <c r="S12" s="15" t="str">
        <f aca="false">IF(OR(P12="",O12=""),"",(P12-O12)/O12)</f>
        <v/>
      </c>
      <c r="T12" s="9" t="str">
        <f aca="false">IF(AND(D12="",G12&lt;&gt;""),"no dates - assumed 1 night",IF(Q12="","",IF(Q12&gt;1.5,"check: markup &gt;150%",IF(Q12&lt;0,"below cost",""))))</f>
        <v/>
      </c>
    </row>
    <row r="13" customFormat="false" ht="15" hidden="false" customHeight="false" outlineLevel="0" collapsed="false">
      <c r="A13" s="9" t="s">
        <v>10</v>
      </c>
      <c r="B13" s="9" t="s">
        <v>97</v>
      </c>
      <c r="C13" s="9" t="s">
        <v>50</v>
      </c>
      <c r="D13" s="10" t="s">
        <v>92</v>
      </c>
      <c r="E13" s="10" t="s">
        <v>93</v>
      </c>
      <c r="F13" s="9" t="n">
        <f aca="false">IF(OR(D13="",E13=""),1,MAX(1,DATEVALUE(E13)-DATEVALUE(D13)))</f>
        <v>1</v>
      </c>
      <c r="G13" s="11" t="n">
        <v>17218</v>
      </c>
      <c r="H13" s="11" t="n">
        <v>19905</v>
      </c>
      <c r="I13" s="11"/>
      <c r="J13" s="11"/>
      <c r="K13" s="11"/>
      <c r="L13" s="12"/>
      <c r="M13" s="13"/>
      <c r="N13" s="14" t="n">
        <f aca="false">IF(G13="","",G13/F13)</f>
        <v>17218</v>
      </c>
      <c r="O13" s="14" t="n">
        <f aca="false">IF(COUNT(H13:K13)=0,"",MIN(H13:K13)/F13)</f>
        <v>19905</v>
      </c>
      <c r="P13" s="14" t="str">
        <f aca="false">IF(L13="","",L13*95/F13)</f>
        <v/>
      </c>
      <c r="Q13" s="15" t="n">
        <f aca="false">IF(OR(N13="",O13=""),"",(IF(AND(N13&gt;7500,O13&gt;7500),O13/(1+IF(O13&lt;=1000,0,IF(O13&lt;=7500,0.05,0.18)))-IF(AND(N13&gt;7500,O13&gt;7500),N13/1.18,N13),(O13-IF(AND(N13&gt;7500,O13&gt;7500),N13/1.18,N13))/(1+IF(O13&lt;=1000,0,IF(O13&lt;=7500,0.05,0.18)))))/(IF(AND(N13&gt;7500,O13&gt;7500),N13/1.18,N13)))</f>
        <v>0.156057614124753</v>
      </c>
      <c r="R13" s="15" t="n">
        <f aca="false">IF(OR(N13="",O13=""),"",((O13-N13)/1.18)/N13)</f>
        <v>0.13225221535996</v>
      </c>
      <c r="S13" s="15" t="str">
        <f aca="false">IF(OR(P13="",O13=""),"",(P13-O13)/O13)</f>
        <v/>
      </c>
      <c r="T13" s="9" t="str">
        <f aca="false">IF(AND(D13="",G13&lt;&gt;""),"no dates - assumed 1 night",IF(Q13="","",IF(Q13&gt;1.5,"check: markup &gt;150%",IF(Q13&lt;0,"below cost",""))))</f>
        <v/>
      </c>
    </row>
    <row r="14" customFormat="false" ht="15" hidden="false" customHeight="false" outlineLevel="0" collapsed="false">
      <c r="A14" s="9" t="s">
        <v>10</v>
      </c>
      <c r="B14" s="9" t="s">
        <v>97</v>
      </c>
      <c r="C14" s="9" t="s">
        <v>54</v>
      </c>
      <c r="D14" s="10" t="s">
        <v>95</v>
      </c>
      <c r="E14" s="10" t="s">
        <v>96</v>
      </c>
      <c r="F14" s="9" t="n">
        <f aca="false">IF(OR(D14="",E14=""),1,MAX(1,DATEVALUE(E14)-DATEVALUE(D14)))</f>
        <v>2</v>
      </c>
      <c r="G14" s="11" t="n">
        <v>49433</v>
      </c>
      <c r="H14" s="11" t="n">
        <v>54648</v>
      </c>
      <c r="I14" s="11"/>
      <c r="J14" s="11"/>
      <c r="K14" s="11"/>
      <c r="L14" s="12"/>
      <c r="M14" s="13"/>
      <c r="N14" s="14" t="n">
        <f aca="false">IF(G14="","",G14/F14)</f>
        <v>24716.5</v>
      </c>
      <c r="O14" s="14" t="n">
        <f aca="false">IF(COUNT(H14:K14)=0,"",MIN(H14:K14)/F14)</f>
        <v>27324</v>
      </c>
      <c r="P14" s="14" t="str">
        <f aca="false">IF(L14="","",L14*95/F14)</f>
        <v/>
      </c>
      <c r="Q14" s="15" t="n">
        <f aca="false">IF(OR(N14="",O14=""),"",(IF(AND(N14&gt;7500,O14&gt;7500),O14/(1+IF(O14&lt;=1000,0,IF(O14&lt;=7500,0.05,0.18)))-IF(AND(N14&gt;7500,O14&gt;7500),N14/1.18,N14),(O14-IF(AND(N14&gt;7500,O14&gt;7500),N14/1.18,N14))/(1+IF(O14&lt;=1000,0,IF(O14&lt;=7500,0.05,0.18)))))/(IF(AND(N14&gt;7500,O14&gt;7500),N14/1.18,N14)))</f>
        <v>0.105496328363644</v>
      </c>
      <c r="R14" s="15" t="n">
        <f aca="false">IF(OR(N14="",O14=""),"",((O14-N14)/1.18)/N14)</f>
        <v>0.0894036681047828</v>
      </c>
      <c r="S14" s="15" t="str">
        <f aca="false">IF(OR(P14="",O14=""),"",(P14-O14)/O14)</f>
        <v/>
      </c>
      <c r="T14" s="9" t="str">
        <f aca="false">IF(AND(D14="",G14&lt;&gt;""),"no dates - assumed 1 night",IF(Q14="","",IF(Q14&gt;1.5,"check: markup &gt;150%",IF(Q14&lt;0,"below cost",""))))</f>
        <v/>
      </c>
    </row>
    <row r="15" customFormat="false" ht="15" hidden="false" customHeight="false" outlineLevel="0" collapsed="false">
      <c r="A15" s="9" t="s">
        <v>10</v>
      </c>
      <c r="B15" s="9" t="s">
        <v>98</v>
      </c>
      <c r="C15" s="9" t="s">
        <v>41</v>
      </c>
      <c r="D15" s="10" t="s">
        <v>95</v>
      </c>
      <c r="E15" s="10" t="s">
        <v>96</v>
      </c>
      <c r="F15" s="9" t="n">
        <f aca="false">IF(OR(D15="",E15=""),1,MAX(1,DATEVALUE(E15)-DATEVALUE(D15)))</f>
        <v>2</v>
      </c>
      <c r="G15" s="11" t="n">
        <v>13574</v>
      </c>
      <c r="H15" s="11" t="n">
        <v>15691</v>
      </c>
      <c r="I15" s="11"/>
      <c r="J15" s="11"/>
      <c r="K15" s="11"/>
      <c r="L15" s="12"/>
      <c r="M15" s="13"/>
      <c r="N15" s="14" t="n">
        <f aca="false">IF(G15="","",G15/F15)</f>
        <v>6787</v>
      </c>
      <c r="O15" s="14" t="n">
        <f aca="false">IF(COUNT(H15:K15)=0,"",MIN(H15:K15)/F15)</f>
        <v>7845.5</v>
      </c>
      <c r="P15" s="14" t="str">
        <f aca="false">IF(L15="","",L15*95/F15)</f>
        <v/>
      </c>
      <c r="Q15" s="15" t="n">
        <f aca="false">IF(OR(N15="",O15=""),"",(IF(AND(N15&gt;7500,O15&gt;7500),O15/(1+IF(O15&lt;=1000,0,IF(O15&lt;=7500,0.05,0.18)))-IF(AND(N15&gt;7500,O15&gt;7500),N15/1.18,N15),(O15-IF(AND(N15&gt;7500,O15&gt;7500),N15/1.18,N15))/(1+IF(O15&lt;=1000,0,IF(O15&lt;=7500,0.05,0.18)))))/(IF(AND(N15&gt;7500,O15&gt;7500),N15/1.18,N15)))</f>
        <v>0.13216942659571</v>
      </c>
      <c r="R15" s="15" t="n">
        <f aca="false">IF(OR(N15="",O15=""),"",((O15-N15)/1.18)/N15)</f>
        <v>0.13216942659571</v>
      </c>
      <c r="S15" s="15" t="str">
        <f aca="false">IF(OR(P15="",O15=""),"",(P15-O15)/O15)</f>
        <v/>
      </c>
      <c r="T15" s="9" t="str">
        <f aca="false">IF(AND(D15="",G15&lt;&gt;""),"no dates - assumed 1 night",IF(Q15="","",IF(Q15&gt;1.5,"check: markup &gt;150%",IF(Q15&lt;0,"below cost",""))))</f>
        <v/>
      </c>
    </row>
    <row r="16" customFormat="false" ht="15" hidden="false" customHeight="false" outlineLevel="0" collapsed="false">
      <c r="A16" s="9" t="s">
        <v>10</v>
      </c>
      <c r="B16" s="9" t="s">
        <v>98</v>
      </c>
      <c r="C16" s="9" t="s">
        <v>44</v>
      </c>
      <c r="D16" s="10" t="s">
        <v>99</v>
      </c>
      <c r="E16" s="10" t="s">
        <v>89</v>
      </c>
      <c r="F16" s="9" t="n">
        <f aca="false">IF(OR(D16="",E16=""),1,MAX(1,DATEVALUE(E16)-DATEVALUE(D16)))</f>
        <v>3</v>
      </c>
      <c r="G16" s="11" t="n">
        <v>19646</v>
      </c>
      <c r="H16" s="11" t="n">
        <v>22684</v>
      </c>
      <c r="I16" s="11"/>
      <c r="J16" s="11"/>
      <c r="K16" s="11"/>
      <c r="L16" s="12"/>
      <c r="M16" s="13"/>
      <c r="N16" s="14" t="n">
        <f aca="false">IF(G16="","",G16/F16)</f>
        <v>6548.66666666667</v>
      </c>
      <c r="O16" s="14" t="n">
        <f aca="false">IF(COUNT(H16:K16)=0,"",MIN(H16:K16)/F16)</f>
        <v>7561.33333333333</v>
      </c>
      <c r="P16" s="14" t="str">
        <f aca="false">IF(L16="","",L16*95/F16)</f>
        <v/>
      </c>
      <c r="Q16" s="15" t="n">
        <f aca="false">IF(OR(N16="",O16=""),"",(IF(AND(N16&gt;7500,O16&gt;7500),O16/(1+IF(O16&lt;=1000,0,IF(O16&lt;=7500,0.05,0.18)))-IF(AND(N16&gt;7500,O16&gt;7500),N16/1.18,N16),(O16-IF(AND(N16&gt;7500,O16&gt;7500),N16/1.18,N16))/(1+IF(O16&lt;=1000,0,IF(O16&lt;=7500,0.05,0.18)))))/(IF(AND(N16&gt;7500,O16&gt;7500),N16/1.18,N16)))</f>
        <v>0.131048369703066</v>
      </c>
      <c r="R16" s="15" t="n">
        <f aca="false">IF(OR(N16="",O16=""),"",((O16-N16)/1.18)/N16)</f>
        <v>0.131048369703066</v>
      </c>
      <c r="S16" s="15" t="str">
        <f aca="false">IF(OR(P16="",O16=""),"",(P16-O16)/O16)</f>
        <v/>
      </c>
      <c r="T16" s="9" t="str">
        <f aca="false">IF(AND(D16="",G16&lt;&gt;""),"no dates - assumed 1 night",IF(Q16="","",IF(Q16&gt;1.5,"check: markup &gt;150%",IF(Q16&lt;0,"below cost",""))))</f>
        <v/>
      </c>
    </row>
    <row r="17" customFormat="false" ht="15" hidden="false" customHeight="false" outlineLevel="0" collapsed="false">
      <c r="A17" s="9" t="s">
        <v>10</v>
      </c>
      <c r="B17" s="9" t="s">
        <v>98</v>
      </c>
      <c r="C17" s="9" t="s">
        <v>50</v>
      </c>
      <c r="D17" s="10" t="s">
        <v>100</v>
      </c>
      <c r="E17" s="10" t="s">
        <v>93</v>
      </c>
      <c r="F17" s="9" t="n">
        <f aca="false">IF(OR(D17="",E17=""),1,MAX(1,DATEVALUE(E17)-DATEVALUE(D17)))</f>
        <v>2</v>
      </c>
      <c r="G17" s="11" t="n">
        <v>13574</v>
      </c>
      <c r="H17" s="11" t="n">
        <v>14901</v>
      </c>
      <c r="I17" s="11"/>
      <c r="J17" s="11"/>
      <c r="K17" s="11"/>
      <c r="L17" s="12"/>
      <c r="M17" s="13"/>
      <c r="N17" s="14" t="n">
        <f aca="false">IF(G17="","",G17/F17)</f>
        <v>6787</v>
      </c>
      <c r="O17" s="14" t="n">
        <f aca="false">IF(COUNT(H17:K17)=0,"",MIN(H17:K17)/F17)</f>
        <v>7450.5</v>
      </c>
      <c r="P17" s="14" t="str">
        <f aca="false">IF(L17="","",L17*95/F17)</f>
        <v/>
      </c>
      <c r="Q17" s="15" t="n">
        <f aca="false">IF(OR(N17="",O17=""),"",(IF(AND(N17&gt;7500,O17&gt;7500),O17/(1+IF(O17&lt;=1000,0,IF(O17&lt;=7500,0.05,0.18)))-IF(AND(N17&gt;7500,O17&gt;7500),N17/1.18,N17),(O17-IF(AND(N17&gt;7500,O17&gt;7500),N17/1.18,N17))/(1+IF(O17&lt;=1000,0,IF(O17&lt;=7500,0.05,0.18)))))/(IF(AND(N17&gt;7500,O17&gt;7500),N17/1.18,N17)))</f>
        <v>0.0931051660387155</v>
      </c>
      <c r="R17" s="15" t="n">
        <f aca="false">IF(OR(N17="",O17=""),"",((O17-N17)/1.18)/N17)</f>
        <v>0.08284781723784</v>
      </c>
      <c r="S17" s="15" t="str">
        <f aca="false">IF(OR(P17="",O17=""),"",(P17-O17)/O17)</f>
        <v/>
      </c>
      <c r="T17" s="9" t="str">
        <f aca="false">IF(AND(D17="",G17&lt;&gt;""),"no dates - assumed 1 night",IF(Q17="","",IF(Q17&gt;1.5,"check: markup &gt;150%",IF(Q17&lt;0,"below cost",""))))</f>
        <v/>
      </c>
    </row>
    <row r="18" customFormat="false" ht="15" hidden="false" customHeight="false" outlineLevel="0" collapsed="false">
      <c r="A18" s="9" t="s">
        <v>10</v>
      </c>
      <c r="B18" s="9" t="s">
        <v>101</v>
      </c>
      <c r="C18" s="9" t="s">
        <v>41</v>
      </c>
      <c r="D18" s="10" t="s">
        <v>95</v>
      </c>
      <c r="E18" s="10" t="s">
        <v>96</v>
      </c>
      <c r="F18" s="9" t="n">
        <f aca="false">IF(OR(D18="",E18=""),1,MAX(1,DATEVALUE(E18)-DATEVALUE(D18)))</f>
        <v>2</v>
      </c>
      <c r="G18" s="11" t="n">
        <v>36198</v>
      </c>
      <c r="H18" s="11" t="n">
        <v>35863</v>
      </c>
      <c r="I18" s="11"/>
      <c r="J18" s="11"/>
      <c r="K18" s="11"/>
      <c r="L18" s="12"/>
      <c r="M18" s="13"/>
      <c r="N18" s="14" t="n">
        <f aca="false">IF(G18="","",G18/F18)</f>
        <v>18099</v>
      </c>
      <c r="O18" s="14" t="n">
        <f aca="false">IF(COUNT(H18:K18)=0,"",MIN(H18:K18)/F18)</f>
        <v>17931.5</v>
      </c>
      <c r="P18" s="14" t="str">
        <f aca="false">IF(L18="","",L18*95/F18)</f>
        <v/>
      </c>
      <c r="Q18" s="15" t="n">
        <f aca="false">IF(OR(N18="",O18=""),"",(IF(AND(N18&gt;7500,O18&gt;7500),O18/(1+IF(O18&lt;=1000,0,IF(O18&lt;=7500,0.05,0.18)))-IF(AND(N18&gt;7500,O18&gt;7500),N18/1.18,N18),(O18-IF(AND(N18&gt;7500,O18&gt;7500),N18/1.18,N18))/(1+IF(O18&lt;=1000,0,IF(O18&lt;=7500,0.05,0.18)))))/(IF(AND(N18&gt;7500,O18&gt;7500),N18/1.18,N18)))</f>
        <v>-0.00925465495331233</v>
      </c>
      <c r="R18" s="15" t="n">
        <f aca="false">IF(OR(N18="",O18=""),"",((O18-N18)/1.18)/N18)</f>
        <v>-0.00784292792653588</v>
      </c>
      <c r="S18" s="15" t="str">
        <f aca="false">IF(OR(P18="",O18=""),"",(P18-O18)/O18)</f>
        <v/>
      </c>
      <c r="T18" s="9" t="str">
        <f aca="false">IF(AND(D18="",G18&lt;&gt;""),"no dates - assumed 1 night",IF(Q18="","",IF(Q18&gt;1.5,"check: markup &gt;150%",IF(Q18&lt;0,"below cost",""))))</f>
        <v>below cost</v>
      </c>
    </row>
    <row r="19" customFormat="false" ht="15" hidden="false" customHeight="false" outlineLevel="0" collapsed="false">
      <c r="A19" s="9" t="s">
        <v>10</v>
      </c>
      <c r="B19" s="9" t="s">
        <v>101</v>
      </c>
      <c r="C19" s="9" t="s">
        <v>44</v>
      </c>
      <c r="D19" s="10" t="s">
        <v>99</v>
      </c>
      <c r="E19" s="10" t="s">
        <v>89</v>
      </c>
      <c r="F19" s="9" t="n">
        <f aca="false">IF(OR(D19="",E19=""),1,MAX(1,DATEVALUE(E19)-DATEVALUE(D19)))</f>
        <v>3</v>
      </c>
      <c r="G19" s="11" t="n">
        <v>43440</v>
      </c>
      <c r="H19" s="11" t="n">
        <v>52120</v>
      </c>
      <c r="I19" s="11"/>
      <c r="J19" s="11"/>
      <c r="K19" s="11"/>
      <c r="L19" s="12"/>
      <c r="M19" s="13"/>
      <c r="N19" s="14" t="n">
        <f aca="false">IF(G19="","",G19/F19)</f>
        <v>14480</v>
      </c>
      <c r="O19" s="14" t="n">
        <f aca="false">IF(COUNT(H19:K19)=0,"",MIN(H19:K19)/F19)</f>
        <v>17373.3333333333</v>
      </c>
      <c r="P19" s="14" t="str">
        <f aca="false">IF(L19="","",L19*95/F19)</f>
        <v/>
      </c>
      <c r="Q19" s="15" t="n">
        <f aca="false">IF(OR(N19="",O19=""),"",(IF(AND(N19&gt;7500,O19&gt;7500),O19/(1+IF(O19&lt;=1000,0,IF(O19&lt;=7500,0.05,0.18)))-IF(AND(N19&gt;7500,O19&gt;7500),N19/1.18,N19),(O19-IF(AND(N19&gt;7500,O19&gt;7500),N19/1.18,N19))/(1+IF(O19&lt;=1000,0,IF(O19&lt;=7500,0.05,0.18)))))/(IF(AND(N19&gt;7500,O19&gt;7500),N19/1.18,N19)))</f>
        <v>0.199815837937385</v>
      </c>
      <c r="R19" s="15" t="n">
        <f aca="false">IF(OR(N19="",O19=""),"",((O19-N19)/1.18)/N19)</f>
        <v>0.16933545587914</v>
      </c>
      <c r="S19" s="15" t="str">
        <f aca="false">IF(OR(P19="",O19=""),"",(P19-O19)/O19)</f>
        <v/>
      </c>
      <c r="T19" s="9" t="str">
        <f aca="false">IF(AND(D19="",G19&lt;&gt;""),"no dates - assumed 1 night",IF(Q19="","",IF(Q19&gt;1.5,"check: markup &gt;150%",IF(Q19&lt;0,"below cost",""))))</f>
        <v/>
      </c>
    </row>
    <row r="20" customFormat="false" ht="15" hidden="false" customHeight="false" outlineLevel="0" collapsed="false">
      <c r="A20" s="9" t="s">
        <v>10</v>
      </c>
      <c r="B20" s="9" t="s">
        <v>101</v>
      </c>
      <c r="C20" s="9" t="s">
        <v>47</v>
      </c>
      <c r="D20" s="10" t="s">
        <v>102</v>
      </c>
      <c r="E20" s="10" t="s">
        <v>91</v>
      </c>
      <c r="F20" s="9" t="n">
        <f aca="false">IF(OR(D20="",E20=""),1,MAX(1,DATEVALUE(E20)-DATEVALUE(D20)))</f>
        <v>2</v>
      </c>
      <c r="G20" s="11" t="n">
        <v>27571</v>
      </c>
      <c r="H20" s="11" t="n">
        <v>32603</v>
      </c>
      <c r="I20" s="11"/>
      <c r="J20" s="11"/>
      <c r="K20" s="11"/>
      <c r="L20" s="12"/>
      <c r="M20" s="13"/>
      <c r="N20" s="14" t="n">
        <f aca="false">IF(G20="","",G20/F20)</f>
        <v>13785.5</v>
      </c>
      <c r="O20" s="14" t="n">
        <f aca="false">IF(COUNT(H20:K20)=0,"",MIN(H20:K20)/F20)</f>
        <v>16301.5</v>
      </c>
      <c r="P20" s="14" t="str">
        <f aca="false">IF(L20="","",L20*95/F20)</f>
        <v/>
      </c>
      <c r="Q20" s="15" t="n">
        <f aca="false">IF(OR(N20="",O20=""),"",(IF(AND(N20&gt;7500,O20&gt;7500),O20/(1+IF(O20&lt;=1000,0,IF(O20&lt;=7500,0.05,0.18)))-IF(AND(N20&gt;7500,O20&gt;7500),N20/1.18,N20),(O20-IF(AND(N20&gt;7500,O20&gt;7500),N20/1.18,N20))/(1+IF(O20&lt;=1000,0,IF(O20&lt;=7500,0.05,0.18)))))/(IF(AND(N20&gt;7500,O20&gt;7500),N20/1.18,N20)))</f>
        <v>0.182510608973197</v>
      </c>
      <c r="R20" s="15" t="n">
        <f aca="false">IF(OR(N20="",O20=""),"",((O20-N20)/1.18)/N20)</f>
        <v>0.154670007604404</v>
      </c>
      <c r="S20" s="15" t="str">
        <f aca="false">IF(OR(P20="",O20=""),"",(P20-O20)/O20)</f>
        <v/>
      </c>
      <c r="T20" s="9" t="str">
        <f aca="false">IF(AND(D20="",G20&lt;&gt;""),"no dates - assumed 1 night",IF(Q20="","",IF(Q20&gt;1.5,"check: markup &gt;150%",IF(Q20&lt;0,"below cost",""))))</f>
        <v/>
      </c>
    </row>
    <row r="21" customFormat="false" ht="15" hidden="false" customHeight="false" outlineLevel="0" collapsed="false">
      <c r="A21" s="9" t="s">
        <v>10</v>
      </c>
      <c r="B21" s="9" t="s">
        <v>101</v>
      </c>
      <c r="C21" s="9" t="s">
        <v>50</v>
      </c>
      <c r="D21" s="10" t="s">
        <v>100</v>
      </c>
      <c r="E21" s="10" t="s">
        <v>93</v>
      </c>
      <c r="F21" s="9" t="n">
        <f aca="false">IF(OR(D21="",E21=""),1,MAX(1,DATEVALUE(E21)-DATEVALUE(D21)))</f>
        <v>2</v>
      </c>
      <c r="G21" s="11" t="n">
        <v>27571</v>
      </c>
      <c r="H21" s="11" t="n">
        <v>33113</v>
      </c>
      <c r="I21" s="11"/>
      <c r="J21" s="11"/>
      <c r="K21" s="11"/>
      <c r="L21" s="12"/>
      <c r="M21" s="13"/>
      <c r="N21" s="14" t="n">
        <f aca="false">IF(G21="","",G21/F21)</f>
        <v>13785.5</v>
      </c>
      <c r="O21" s="14" t="n">
        <f aca="false">IF(COUNT(H21:K21)=0,"",MIN(H21:K21)/F21)</f>
        <v>16556.5</v>
      </c>
      <c r="P21" s="14" t="str">
        <f aca="false">IF(L21="","",L21*95/F21)</f>
        <v/>
      </c>
      <c r="Q21" s="15" t="n">
        <f aca="false">IF(OR(N21="",O21=""),"",(IF(AND(N21&gt;7500,O21&gt;7500),O21/(1+IF(O21&lt;=1000,0,IF(O21&lt;=7500,0.05,0.18)))-IF(AND(N21&gt;7500,O21&gt;7500),N21/1.18,N21),(O21-IF(AND(N21&gt;7500,O21&gt;7500),N21/1.18,N21))/(1+IF(O21&lt;=1000,0,IF(O21&lt;=7500,0.05,0.18)))))/(IF(AND(N21&gt;7500,O21&gt;7500),N21/1.18,N21)))</f>
        <v>0.201008305828588</v>
      </c>
      <c r="R21" s="15" t="n">
        <f aca="false">IF(OR(N21="",O21=""),"",((O21-N21)/1.18)/N21)</f>
        <v>0.170346021888634</v>
      </c>
      <c r="S21" s="15" t="str">
        <f aca="false">IF(OR(P21="",O21=""),"",(P21-O21)/O21)</f>
        <v/>
      </c>
      <c r="T21" s="9" t="str">
        <f aca="false">IF(AND(D21="",G21&lt;&gt;""),"no dates - assumed 1 night",IF(Q21="","",IF(Q21&gt;1.5,"check: markup &gt;150%",IF(Q21&lt;0,"below cost",""))))</f>
        <v/>
      </c>
    </row>
    <row r="22" customFormat="false" ht="15" hidden="false" customHeight="false" outlineLevel="0" collapsed="false">
      <c r="A22" s="9" t="s">
        <v>10</v>
      </c>
      <c r="B22" s="9" t="s">
        <v>101</v>
      </c>
      <c r="C22" s="9" t="s">
        <v>54</v>
      </c>
      <c r="D22" s="10" t="s">
        <v>103</v>
      </c>
      <c r="E22" s="10" t="s">
        <v>104</v>
      </c>
      <c r="F22" s="9" t="n">
        <f aca="false">IF(OR(D22="",E22=""),1,MAX(1,DATEVALUE(E22)-DATEVALUE(D22)))</f>
        <v>3</v>
      </c>
      <c r="G22" s="11" t="n">
        <v>41400</v>
      </c>
      <c r="H22" s="11" t="n">
        <v>48951</v>
      </c>
      <c r="I22" s="11"/>
      <c r="J22" s="11"/>
      <c r="K22" s="11"/>
      <c r="L22" s="12"/>
      <c r="M22" s="13"/>
      <c r="N22" s="14" t="n">
        <f aca="false">IF(G22="","",G22/F22)</f>
        <v>13800</v>
      </c>
      <c r="O22" s="14" t="n">
        <f aca="false">IF(COUNT(H22:K22)=0,"",MIN(H22:K22)/F22)</f>
        <v>16317</v>
      </c>
      <c r="P22" s="14" t="str">
        <f aca="false">IF(L22="","",L22*95/F22)</f>
        <v/>
      </c>
      <c r="Q22" s="15" t="n">
        <f aca="false">IF(OR(N22="",O22=""),"",(IF(AND(N22&gt;7500,O22&gt;7500),O22/(1+IF(O22&lt;=1000,0,IF(O22&lt;=7500,0.05,0.18)))-IF(AND(N22&gt;7500,O22&gt;7500),N22/1.18,N22),(O22-IF(AND(N22&gt;7500,O22&gt;7500),N22/1.18,N22))/(1+IF(O22&lt;=1000,0,IF(O22&lt;=7500,0.05,0.18)))))/(IF(AND(N22&gt;7500,O22&gt;7500),N22/1.18,N22)))</f>
        <v>0.182391304347826</v>
      </c>
      <c r="R22" s="15" t="n">
        <f aca="false">IF(OR(N22="",O22=""),"",((O22-N22)/1.18)/N22)</f>
        <v>0.154568901989683</v>
      </c>
      <c r="S22" s="15" t="str">
        <f aca="false">IF(OR(P22="",O22=""),"",(P22-O22)/O22)</f>
        <v/>
      </c>
      <c r="T22" s="9" t="str">
        <f aca="false">IF(AND(D22="",G22&lt;&gt;""),"no dates - assumed 1 night",IF(Q22="","",IF(Q22&gt;1.5,"check: markup &gt;150%",IF(Q22&lt;0,"below cost",""))))</f>
        <v/>
      </c>
    </row>
    <row r="23" customFormat="false" ht="15" hidden="false" customHeight="false" outlineLevel="0" collapsed="false">
      <c r="A23" s="9" t="s">
        <v>10</v>
      </c>
      <c r="B23" s="9" t="s">
        <v>105</v>
      </c>
      <c r="C23" s="9" t="s">
        <v>41</v>
      </c>
      <c r="D23" s="10" t="s">
        <v>95</v>
      </c>
      <c r="E23" s="10" t="s">
        <v>96</v>
      </c>
      <c r="F23" s="9" t="n">
        <f aca="false">IF(OR(D23="",E23=""),1,MAX(1,DATEVALUE(E23)-DATEVALUE(D23)))</f>
        <v>2</v>
      </c>
      <c r="G23" s="11" t="n">
        <v>31614</v>
      </c>
      <c r="H23" s="11" t="n">
        <v>36582</v>
      </c>
      <c r="I23" s="11"/>
      <c r="J23" s="11"/>
      <c r="K23" s="11"/>
      <c r="L23" s="12"/>
      <c r="M23" s="13"/>
      <c r="N23" s="14" t="n">
        <f aca="false">IF(G23="","",G23/F23)</f>
        <v>15807</v>
      </c>
      <c r="O23" s="14" t="n">
        <f aca="false">IF(COUNT(H23:K23)=0,"",MIN(H23:K23)/F23)</f>
        <v>18291</v>
      </c>
      <c r="P23" s="14" t="str">
        <f aca="false">IF(L23="","",L23*95/F23)</f>
        <v/>
      </c>
      <c r="Q23" s="15" t="n">
        <f aca="false">IF(OR(N23="",O23=""),"",(IF(AND(N23&gt;7500,O23&gt;7500),O23/(1+IF(O23&lt;=1000,0,IF(O23&lt;=7500,0.05,0.18)))-IF(AND(N23&gt;7500,O23&gt;7500),N23/1.18,N23),(O23-IF(AND(N23&gt;7500,O23&gt;7500),N23/1.18,N23))/(1+IF(O23&lt;=1000,0,IF(O23&lt;=7500,0.05,0.18)))))/(IF(AND(N23&gt;7500,O23&gt;7500),N23/1.18,N23)))</f>
        <v>0.157145568419055</v>
      </c>
      <c r="R23" s="15" t="n">
        <f aca="false">IF(OR(N23="",O23=""),"",((O23-N23)/1.18)/N23)</f>
        <v>0.133174210524623</v>
      </c>
      <c r="S23" s="15" t="str">
        <f aca="false">IF(OR(P23="",O23=""),"",(P23-O23)/O23)</f>
        <v/>
      </c>
      <c r="T23" s="9" t="str">
        <f aca="false">IF(AND(D23="",G23&lt;&gt;""),"no dates - assumed 1 night",IF(Q23="","",IF(Q23&gt;1.5,"check: markup &gt;150%",IF(Q23&lt;0,"below cost",""))))</f>
        <v/>
      </c>
    </row>
    <row r="24" customFormat="false" ht="15" hidden="false" customHeight="false" outlineLevel="0" collapsed="false">
      <c r="A24" s="9" t="s">
        <v>10</v>
      </c>
      <c r="B24" s="9" t="s">
        <v>105</v>
      </c>
      <c r="C24" s="9" t="s">
        <v>44</v>
      </c>
      <c r="D24" s="10" t="s">
        <v>99</v>
      </c>
      <c r="E24" s="10" t="s">
        <v>89</v>
      </c>
      <c r="F24" s="9" t="n">
        <f aca="false">IF(OR(D24="",E24=""),1,MAX(1,DATEVALUE(E24)-DATEVALUE(D24)))</f>
        <v>3</v>
      </c>
      <c r="G24" s="11" t="n">
        <v>41253</v>
      </c>
      <c r="H24" s="11" t="n">
        <v>46985</v>
      </c>
      <c r="I24" s="11"/>
      <c r="J24" s="11"/>
      <c r="K24" s="11"/>
      <c r="L24" s="12"/>
      <c r="M24" s="13"/>
      <c r="N24" s="14" t="n">
        <f aca="false">IF(G24="","",G24/F24)</f>
        <v>13751</v>
      </c>
      <c r="O24" s="14" t="n">
        <f aca="false">IF(COUNT(H24:K24)=0,"",MIN(H24:K24)/F24)</f>
        <v>15661.6666666667</v>
      </c>
      <c r="P24" s="14" t="str">
        <f aca="false">IF(L24="","",L24*95/F24)</f>
        <v/>
      </c>
      <c r="Q24" s="15" t="n">
        <f aca="false">IF(OR(N24="",O24=""),"",(IF(AND(N24&gt;7500,O24&gt;7500),O24/(1+IF(O24&lt;=1000,0,IF(O24&lt;=7500,0.05,0.18)))-IF(AND(N24&gt;7500,O24&gt;7500),N24/1.18,N24),(O24-IF(AND(N24&gt;7500,O24&gt;7500),N24/1.18,N24))/(1+IF(O24&lt;=1000,0,IF(O24&lt;=7500,0.05,0.18)))))/(IF(AND(N24&gt;7500,O24&gt;7500),N24/1.18,N24)))</f>
        <v>0.138947470486995</v>
      </c>
      <c r="R24" s="15" t="n">
        <f aca="false">IF(OR(N24="",O24=""),"",((O24-N24)/1.18)/N24)</f>
        <v>0.117752093633046</v>
      </c>
      <c r="S24" s="15" t="str">
        <f aca="false">IF(OR(P24="",O24=""),"",(P24-O24)/O24)</f>
        <v/>
      </c>
      <c r="T24" s="9" t="str">
        <f aca="false">IF(AND(D24="",G24&lt;&gt;""),"no dates - assumed 1 night",IF(Q24="","",IF(Q24&gt;1.5,"check: markup &gt;150%",IF(Q24&lt;0,"below cost",""))))</f>
        <v/>
      </c>
    </row>
    <row r="25" customFormat="false" ht="15" hidden="false" customHeight="false" outlineLevel="0" collapsed="false">
      <c r="A25" s="9" t="s">
        <v>10</v>
      </c>
      <c r="B25" s="9" t="s">
        <v>105</v>
      </c>
      <c r="C25" s="9" t="s">
        <v>47</v>
      </c>
      <c r="D25" s="10" t="s">
        <v>102</v>
      </c>
      <c r="E25" s="10" t="s">
        <v>91</v>
      </c>
      <c r="F25" s="9" t="n">
        <f aca="false">IF(OR(D25="",E25=""),1,MAX(1,DATEVALUE(E25)-DATEVALUE(D25)))</f>
        <v>2</v>
      </c>
      <c r="G25" s="11" t="n">
        <v>55094</v>
      </c>
      <c r="H25" s="11" t="n">
        <v>40155</v>
      </c>
      <c r="I25" s="11"/>
      <c r="J25" s="11"/>
      <c r="K25" s="11"/>
      <c r="L25" s="12"/>
      <c r="M25" s="13"/>
      <c r="N25" s="14" t="n">
        <f aca="false">IF(G25="","",G25/F25)</f>
        <v>27547</v>
      </c>
      <c r="O25" s="14" t="n">
        <f aca="false">IF(COUNT(H25:K25)=0,"",MIN(H25:K25)/F25)</f>
        <v>20077.5</v>
      </c>
      <c r="P25" s="14" t="str">
        <f aca="false">IF(L25="","",L25*95/F25)</f>
        <v/>
      </c>
      <c r="Q25" s="15" t="n">
        <f aca="false">IF(OR(N25="",O25=""),"",(IF(AND(N25&gt;7500,O25&gt;7500),O25/(1+IF(O25&lt;=1000,0,IF(O25&lt;=7500,0.05,0.18)))-IF(AND(N25&gt;7500,O25&gt;7500),N25/1.18,N25),(O25-IF(AND(N25&gt;7500,O25&gt;7500),N25/1.18,N25))/(1+IF(O25&lt;=1000,0,IF(O25&lt;=7500,0.05,0.18)))))/(IF(AND(N25&gt;7500,O25&gt;7500),N25/1.18,N25)))</f>
        <v>-0.271154753693687</v>
      </c>
      <c r="R25" s="15" t="n">
        <f aca="false">IF(OR(N25="",O25=""),"",((O25-N25)/1.18)/N25)</f>
        <v>-0.229792164147193</v>
      </c>
      <c r="S25" s="15" t="str">
        <f aca="false">IF(OR(P25="",O25=""),"",(P25-O25)/O25)</f>
        <v/>
      </c>
      <c r="T25" s="9" t="str">
        <f aca="false">IF(AND(D25="",G25&lt;&gt;""),"no dates - assumed 1 night",IF(Q25="","",IF(Q25&gt;1.5,"check: markup &gt;150%",IF(Q25&lt;0,"below cost",""))))</f>
        <v>below cost</v>
      </c>
    </row>
    <row r="26" customFormat="false" ht="15" hidden="false" customHeight="false" outlineLevel="0" collapsed="false">
      <c r="A26" s="9" t="s">
        <v>10</v>
      </c>
      <c r="B26" s="9" t="s">
        <v>105</v>
      </c>
      <c r="C26" s="9" t="s">
        <v>50</v>
      </c>
      <c r="D26" s="10" t="s">
        <v>100</v>
      </c>
      <c r="E26" s="10" t="s">
        <v>93</v>
      </c>
      <c r="F26" s="9" t="n">
        <f aca="false">IF(OR(D26="",E26=""),1,MAX(1,DATEVALUE(E26)-DATEVALUE(D26)))</f>
        <v>2</v>
      </c>
      <c r="G26" s="11" t="n">
        <v>25815</v>
      </c>
      <c r="H26" s="11" t="n">
        <v>28769</v>
      </c>
      <c r="I26" s="11"/>
      <c r="J26" s="11"/>
      <c r="K26" s="11"/>
      <c r="L26" s="12"/>
      <c r="M26" s="13"/>
      <c r="N26" s="14" t="n">
        <f aca="false">IF(G26="","",G26/F26)</f>
        <v>12907.5</v>
      </c>
      <c r="O26" s="14" t="n">
        <f aca="false">IF(COUNT(H26:K26)=0,"",MIN(H26:K26)/F26)</f>
        <v>14384.5</v>
      </c>
      <c r="P26" s="14" t="str">
        <f aca="false">IF(L26="","",L26*95/F26)</f>
        <v/>
      </c>
      <c r="Q26" s="15" t="n">
        <f aca="false">IF(OR(N26="",O26=""),"",(IF(AND(N26&gt;7500,O26&gt;7500),O26/(1+IF(O26&lt;=1000,0,IF(O26&lt;=7500,0.05,0.18)))-IF(AND(N26&gt;7500,O26&gt;7500),N26/1.18,N26),(O26-IF(AND(N26&gt;7500,O26&gt;7500),N26/1.18,N26))/(1+IF(O26&lt;=1000,0,IF(O26&lt;=7500,0.05,0.18)))))/(IF(AND(N26&gt;7500,O26&gt;7500),N26/1.18,N26)))</f>
        <v>0.114429595196591</v>
      </c>
      <c r="R26" s="15" t="n">
        <f aca="false">IF(OR(N26="",O26=""),"",((O26-N26)/1.18)/N26)</f>
        <v>0.0969742332174501</v>
      </c>
      <c r="S26" s="15" t="str">
        <f aca="false">IF(OR(P26="",O26=""),"",(P26-O26)/O26)</f>
        <v/>
      </c>
      <c r="T26" s="9" t="str">
        <f aca="false">IF(AND(D26="",G26&lt;&gt;""),"no dates - assumed 1 night",IF(Q26="","",IF(Q26&gt;1.5,"check: markup &gt;150%",IF(Q26&lt;0,"below cost",""))))</f>
        <v/>
      </c>
    </row>
    <row r="27" customFormat="false" ht="15" hidden="false" customHeight="false" outlineLevel="0" collapsed="false">
      <c r="A27" s="9" t="s">
        <v>10</v>
      </c>
      <c r="B27" s="9" t="s">
        <v>105</v>
      </c>
      <c r="C27" s="9" t="s">
        <v>54</v>
      </c>
      <c r="D27" s="10" t="s">
        <v>103</v>
      </c>
      <c r="E27" s="10" t="s">
        <v>104</v>
      </c>
      <c r="F27" s="9" t="n">
        <f aca="false">IF(OR(D27="",E27=""),1,MAX(1,DATEVALUE(E27)-DATEVALUE(D27)))</f>
        <v>3</v>
      </c>
      <c r="G27" s="11" t="n">
        <v>51988</v>
      </c>
      <c r="H27" s="11" t="n">
        <v>36570</v>
      </c>
      <c r="I27" s="11"/>
      <c r="J27" s="11"/>
      <c r="K27" s="11"/>
      <c r="L27" s="12"/>
      <c r="M27" s="13"/>
      <c r="N27" s="14" t="n">
        <f aca="false">IF(G27="","",G27/F27)</f>
        <v>17329.3333333333</v>
      </c>
      <c r="O27" s="14" t="n">
        <f aca="false">IF(COUNT(H27:K27)=0,"",MIN(H27:K27)/F27)</f>
        <v>12190</v>
      </c>
      <c r="P27" s="14" t="str">
        <f aca="false">IF(L27="","",L27*95/F27)</f>
        <v/>
      </c>
      <c r="Q27" s="15" t="n">
        <f aca="false">IF(OR(N27="",O27=""),"",(IF(AND(N27&gt;7500,O27&gt;7500),O27/(1+IF(O27&lt;=1000,0,IF(O27&lt;=7500,0.05,0.18)))-IF(AND(N27&gt;7500,O27&gt;7500),N27/1.18,N27),(O27-IF(AND(N27&gt;7500,O27&gt;7500),N27/1.18,N27))/(1+IF(O27&lt;=1000,0,IF(O27&lt;=7500,0.05,0.18)))))/(IF(AND(N27&gt;7500,O27&gt;7500),N27/1.18,N27)))</f>
        <v>-0.296568438870509</v>
      </c>
      <c r="R27" s="15" t="n">
        <f aca="false">IF(OR(N27="",O27=""),"",((O27-N27)/1.18)/N27)</f>
        <v>-0.251329185483482</v>
      </c>
      <c r="S27" s="15" t="str">
        <f aca="false">IF(OR(P27="",O27=""),"",(P27-O27)/O27)</f>
        <v/>
      </c>
      <c r="T27" s="9" t="str">
        <f aca="false">IF(AND(D27="",G27&lt;&gt;""),"no dates - assumed 1 night",IF(Q27="","",IF(Q27&gt;1.5,"check: markup &gt;150%",IF(Q27&lt;0,"below cost",""))))</f>
        <v>below cost</v>
      </c>
    </row>
    <row r="28" customFormat="false" ht="15" hidden="false" customHeight="false" outlineLevel="0" collapsed="false">
      <c r="A28" s="9" t="s">
        <v>10</v>
      </c>
      <c r="B28" s="9" t="s">
        <v>106</v>
      </c>
      <c r="C28" s="9" t="s">
        <v>41</v>
      </c>
      <c r="D28" s="10" t="s">
        <v>95</v>
      </c>
      <c r="E28" s="10" t="s">
        <v>96</v>
      </c>
      <c r="F28" s="9" t="n">
        <f aca="false">IF(OR(D28="",E28=""),1,MAX(1,DATEVALUE(E28)-DATEVALUE(D28)))</f>
        <v>2</v>
      </c>
      <c r="G28" s="11" t="n">
        <v>52031</v>
      </c>
      <c r="H28" s="11" t="n">
        <v>51684</v>
      </c>
      <c r="I28" s="11"/>
      <c r="J28" s="11"/>
      <c r="K28" s="11"/>
      <c r="L28" s="12"/>
      <c r="M28" s="13"/>
      <c r="N28" s="14" t="n">
        <f aca="false">IF(G28="","",G28/F28)</f>
        <v>26015.5</v>
      </c>
      <c r="O28" s="14" t="n">
        <f aca="false">IF(COUNT(H28:K28)=0,"",MIN(H28:K28)/F28)</f>
        <v>25842</v>
      </c>
      <c r="P28" s="14" t="str">
        <f aca="false">IF(L28="","",L28*95/F28)</f>
        <v/>
      </c>
      <c r="Q28" s="15" t="n">
        <f aca="false">IF(OR(N28="",O28=""),"",(IF(AND(N28&gt;7500,O28&gt;7500),O28/(1+IF(O28&lt;=1000,0,IF(O28&lt;=7500,0.05,0.18)))-IF(AND(N28&gt;7500,O28&gt;7500),N28/1.18,N28),(O28-IF(AND(N28&gt;7500,O28&gt;7500),N28/1.18,N28))/(1+IF(O28&lt;=1000,0,IF(O28&lt;=7500,0.05,0.18)))))/(IF(AND(N28&gt;7500,O28&gt;7500),N28/1.18,N28)))</f>
        <v>-0.0066691011127982</v>
      </c>
      <c r="R28" s="15" t="n">
        <f aca="false">IF(OR(N28="",O28=""),"",((O28-N28)/1.18)/N28)</f>
        <v>-0.00565178060406622</v>
      </c>
      <c r="S28" s="15" t="str">
        <f aca="false">IF(OR(P28="",O28=""),"",(P28-O28)/O28)</f>
        <v/>
      </c>
      <c r="T28" s="9" t="str">
        <f aca="false">IF(AND(D28="",G28&lt;&gt;""),"no dates - assumed 1 night",IF(Q28="","",IF(Q28&gt;1.5,"check: markup &gt;150%",IF(Q28&lt;0,"below cost",""))))</f>
        <v>below cost</v>
      </c>
    </row>
    <row r="29" customFormat="false" ht="15" hidden="false" customHeight="false" outlineLevel="0" collapsed="false">
      <c r="A29" s="9" t="s">
        <v>10</v>
      </c>
      <c r="B29" s="9" t="s">
        <v>106</v>
      </c>
      <c r="C29" s="9" t="s">
        <v>44</v>
      </c>
      <c r="D29" s="10" t="s">
        <v>99</v>
      </c>
      <c r="E29" s="10" t="s">
        <v>89</v>
      </c>
      <c r="F29" s="9" t="n">
        <f aca="false">IF(OR(D29="",E29=""),1,MAX(1,DATEVALUE(E29)-DATEVALUE(D29)))</f>
        <v>3</v>
      </c>
      <c r="G29" s="11" t="n">
        <v>45626</v>
      </c>
      <c r="H29" s="11" t="n">
        <v>59268</v>
      </c>
      <c r="I29" s="11"/>
      <c r="J29" s="11"/>
      <c r="K29" s="11"/>
      <c r="L29" s="12"/>
      <c r="M29" s="13"/>
      <c r="N29" s="14" t="n">
        <f aca="false">IF(G29="","",G29/F29)</f>
        <v>15208.6666666667</v>
      </c>
      <c r="O29" s="14" t="n">
        <f aca="false">IF(COUNT(H29:K29)=0,"",MIN(H29:K29)/F29)</f>
        <v>19756</v>
      </c>
      <c r="P29" s="14" t="str">
        <f aca="false">IF(L29="","",L29*95/F29)</f>
        <v/>
      </c>
      <c r="Q29" s="15" t="n">
        <f aca="false">IF(OR(N29="",O29=""),"",(IF(AND(N29&gt;7500,O29&gt;7500),O29/(1+IF(O29&lt;=1000,0,IF(O29&lt;=7500,0.05,0.18)))-IF(AND(N29&gt;7500,O29&gt;7500),N29/1.18,N29),(O29-IF(AND(N29&gt;7500,O29&gt;7500),N29/1.18,N29))/(1+IF(O29&lt;=1000,0,IF(O29&lt;=7500,0.05,0.18)))))/(IF(AND(N29&gt;7500,O29&gt;7500),N29/1.18,N29)))</f>
        <v>0.298996186384956</v>
      </c>
      <c r="R29" s="15" t="n">
        <f aca="false">IF(OR(N29="",O29=""),"",((O29-N29)/1.18)/N29)</f>
        <v>0.253386598631319</v>
      </c>
      <c r="S29" s="15" t="str">
        <f aca="false">IF(OR(P29="",O29=""),"",(P29-O29)/O29)</f>
        <v/>
      </c>
      <c r="T29" s="9" t="str">
        <f aca="false">IF(AND(D29="",G29&lt;&gt;""),"no dates - assumed 1 night",IF(Q29="","",IF(Q29&gt;1.5,"check: markup &gt;150%",IF(Q29&lt;0,"below cost",""))))</f>
        <v/>
      </c>
    </row>
    <row r="30" customFormat="false" ht="15" hidden="false" customHeight="false" outlineLevel="0" collapsed="false">
      <c r="A30" s="9" t="s">
        <v>10</v>
      </c>
      <c r="B30" s="9" t="s">
        <v>106</v>
      </c>
      <c r="C30" s="9" t="s">
        <v>47</v>
      </c>
      <c r="D30" s="10" t="s">
        <v>102</v>
      </c>
      <c r="E30" s="10" t="s">
        <v>91</v>
      </c>
      <c r="F30" s="9" t="n">
        <f aca="false">IF(OR(D30="",E30=""),1,MAX(1,DATEVALUE(E30)-DATEVALUE(D30)))</f>
        <v>2</v>
      </c>
      <c r="G30" s="11" t="n">
        <v>46320</v>
      </c>
      <c r="H30" s="11" t="n">
        <v>45784</v>
      </c>
      <c r="I30" s="11"/>
      <c r="J30" s="11"/>
      <c r="K30" s="11"/>
      <c r="L30" s="12"/>
      <c r="M30" s="13"/>
      <c r="N30" s="14" t="n">
        <f aca="false">IF(G30="","",G30/F30)</f>
        <v>23160</v>
      </c>
      <c r="O30" s="14" t="n">
        <f aca="false">IF(COUNT(H30:K30)=0,"",MIN(H30:K30)/F30)</f>
        <v>22892</v>
      </c>
      <c r="P30" s="14" t="str">
        <f aca="false">IF(L30="","",L30*95/F30)</f>
        <v/>
      </c>
      <c r="Q30" s="15" t="n">
        <f aca="false">IF(OR(N30="",O30=""),"",(IF(AND(N30&gt;7500,O30&gt;7500),O30/(1+IF(O30&lt;=1000,0,IF(O30&lt;=7500,0.05,0.18)))-IF(AND(N30&gt;7500,O30&gt;7500),N30/1.18,N30),(O30-IF(AND(N30&gt;7500,O30&gt;7500),N30/1.18,N30))/(1+IF(O30&lt;=1000,0,IF(O30&lt;=7500,0.05,0.18)))))/(IF(AND(N30&gt;7500,O30&gt;7500),N30/1.18,N30)))</f>
        <v>-0.0115716753022454</v>
      </c>
      <c r="R30" s="15" t="n">
        <f aca="false">IF(OR(N30="",O30=""),"",((O30-N30)/1.18)/N30)</f>
        <v>-0.00980650449342818</v>
      </c>
      <c r="S30" s="15" t="str">
        <f aca="false">IF(OR(P30="",O30=""),"",(P30-O30)/O30)</f>
        <v/>
      </c>
      <c r="T30" s="9" t="str">
        <f aca="false">IF(AND(D30="",G30&lt;&gt;""),"no dates - assumed 1 night",IF(Q30="","",IF(Q30&gt;1.5,"check: markup &gt;150%",IF(Q30&lt;0,"below cost",""))))</f>
        <v>below cost</v>
      </c>
    </row>
    <row r="31" customFormat="false" ht="15" hidden="false" customHeight="false" outlineLevel="0" collapsed="false">
      <c r="A31" s="9" t="s">
        <v>10</v>
      </c>
      <c r="B31" s="9" t="s">
        <v>106</v>
      </c>
      <c r="C31" s="9" t="s">
        <v>50</v>
      </c>
      <c r="D31" s="10" t="s">
        <v>100</v>
      </c>
      <c r="E31" s="10" t="s">
        <v>93</v>
      </c>
      <c r="F31" s="9" t="n">
        <f aca="false">IF(OR(D31="",E31=""),1,MAX(1,DATEVALUE(E31)-DATEVALUE(D31)))</f>
        <v>2</v>
      </c>
      <c r="G31" s="11" t="n">
        <v>45299</v>
      </c>
      <c r="H31" s="11" t="n">
        <v>44604</v>
      </c>
      <c r="I31" s="11"/>
      <c r="J31" s="11"/>
      <c r="K31" s="11"/>
      <c r="L31" s="12"/>
      <c r="M31" s="13"/>
      <c r="N31" s="14" t="n">
        <f aca="false">IF(G31="","",G31/F31)</f>
        <v>22649.5</v>
      </c>
      <c r="O31" s="14" t="n">
        <f aca="false">IF(COUNT(H31:K31)=0,"",MIN(H31:K31)/F31)</f>
        <v>22302</v>
      </c>
      <c r="P31" s="14" t="str">
        <f aca="false">IF(L31="","",L31*95/F31)</f>
        <v/>
      </c>
      <c r="Q31" s="15" t="n">
        <f aca="false">IF(OR(N31="",O31=""),"",(IF(AND(N31&gt;7500,O31&gt;7500),O31/(1+IF(O31&lt;=1000,0,IF(O31&lt;=7500,0.05,0.18)))-IF(AND(N31&gt;7500,O31&gt;7500),N31/1.18,N31),(O31-IF(AND(N31&gt;7500,O31&gt;7500),N31/1.18,N31))/(1+IF(O31&lt;=1000,0,IF(O31&lt;=7500,0.05,0.18)))))/(IF(AND(N31&gt;7500,O31&gt;7500),N31/1.18,N31)))</f>
        <v>-0.0153425020419878</v>
      </c>
      <c r="R31" s="15" t="n">
        <f aca="false">IF(OR(N31="",O31=""),"",((O31-N31)/1.18)/N31)</f>
        <v>-0.0130021203745658</v>
      </c>
      <c r="S31" s="15" t="str">
        <f aca="false">IF(OR(P31="",O31=""),"",(P31-O31)/O31)</f>
        <v/>
      </c>
      <c r="T31" s="9" t="str">
        <f aca="false">IF(AND(D31="",G31&lt;&gt;""),"no dates - assumed 1 night",IF(Q31="","",IF(Q31&gt;1.5,"check: markup &gt;150%",IF(Q31&lt;0,"below cost",""))))</f>
        <v>below cost</v>
      </c>
    </row>
    <row r="32" customFormat="false" ht="15" hidden="false" customHeight="false" outlineLevel="0" collapsed="false">
      <c r="A32" s="9" t="s">
        <v>10</v>
      </c>
      <c r="B32" s="9" t="s">
        <v>106</v>
      </c>
      <c r="C32" s="9" t="s">
        <v>54</v>
      </c>
      <c r="D32" s="10" t="s">
        <v>103</v>
      </c>
      <c r="E32" s="10" t="s">
        <v>104</v>
      </c>
      <c r="F32" s="9" t="n">
        <f aca="false">IF(OR(D32="",E32=""),1,MAX(1,DATEVALUE(E32)-DATEVALUE(D32)))</f>
        <v>3</v>
      </c>
      <c r="G32" s="11" t="n">
        <v>56466</v>
      </c>
      <c r="H32" s="11" t="n">
        <v>57808</v>
      </c>
      <c r="I32" s="11"/>
      <c r="J32" s="11"/>
      <c r="K32" s="11"/>
      <c r="L32" s="12"/>
      <c r="M32" s="13"/>
      <c r="N32" s="14" t="n">
        <f aca="false">IF(G32="","",G32/F32)</f>
        <v>18822</v>
      </c>
      <c r="O32" s="14" t="n">
        <f aca="false">IF(COUNT(H32:K32)=0,"",MIN(H32:K32)/F32)</f>
        <v>19269.3333333333</v>
      </c>
      <c r="P32" s="14" t="str">
        <f aca="false">IF(L32="","",L32*95/F32)</f>
        <v/>
      </c>
      <c r="Q32" s="15" t="n">
        <f aca="false">IF(OR(N32="",O32=""),"",(IF(AND(N32&gt;7500,O32&gt;7500),O32/(1+IF(O32&lt;=1000,0,IF(O32&lt;=7500,0.05,0.18)))-IF(AND(N32&gt;7500,O32&gt;7500),N32/1.18,N32),(O32-IF(AND(N32&gt;7500,O32&gt;7500),N32/1.18,N32))/(1+IF(O32&lt;=1000,0,IF(O32&lt;=7500,0.05,0.18)))))/(IF(AND(N32&gt;7500,O32&gt;7500),N32/1.18,N32)))</f>
        <v>0.0237665143626252</v>
      </c>
      <c r="R32" s="15" t="n">
        <f aca="false">IF(OR(N32="",O32=""),"",((O32-N32)/1.18)/N32)</f>
        <v>0.0201411138666316</v>
      </c>
      <c r="S32" s="15" t="str">
        <f aca="false">IF(OR(P32="",O32=""),"",(P32-O32)/O32)</f>
        <v/>
      </c>
      <c r="T32" s="9" t="str">
        <f aca="false">IF(AND(D32="",G32&lt;&gt;""),"no dates - assumed 1 night",IF(Q32="","",IF(Q32&gt;1.5,"check: markup &gt;150%",IF(Q32&lt;0,"below cost",""))))</f>
        <v/>
      </c>
    </row>
    <row r="33" customFormat="false" ht="15" hidden="false" customHeight="false" outlineLevel="0" collapsed="false">
      <c r="A33" s="9" t="s">
        <v>10</v>
      </c>
      <c r="B33" s="9" t="s">
        <v>107</v>
      </c>
      <c r="C33" s="9" t="s">
        <v>41</v>
      </c>
      <c r="D33" s="10" t="s">
        <v>88</v>
      </c>
      <c r="E33" s="10" t="s">
        <v>43</v>
      </c>
      <c r="F33" s="9" t="n">
        <f aca="false">IF(OR(D33="",E33=""),1,MAX(1,DATEVALUE(E33)-DATEVALUE(D33)))</f>
        <v>2</v>
      </c>
      <c r="G33" s="11"/>
      <c r="H33" s="11" t="n">
        <v>34219</v>
      </c>
      <c r="I33" s="11"/>
      <c r="J33" s="11"/>
      <c r="K33" s="11"/>
      <c r="L33" s="12"/>
      <c r="M33" s="13"/>
      <c r="N33" s="14" t="str">
        <f aca="false">IF(G33="","",G33/F33)</f>
        <v/>
      </c>
      <c r="O33" s="14" t="n">
        <f aca="false">IF(COUNT(H33:K33)=0,"",MIN(H33:K33)/F33)</f>
        <v>17109.5</v>
      </c>
      <c r="P33" s="14" t="str">
        <f aca="false">IF(L33="","",L33*95/F33)</f>
        <v/>
      </c>
      <c r="Q33" s="15" t="str">
        <f aca="false">IF(OR(N33="",O33=""),"",(IF(AND(N33&gt;7500,O33&gt;7500),O33/(1+IF(O33&lt;=1000,0,IF(O33&lt;=7500,0.05,0.18)))-IF(AND(N33&gt;7500,O33&gt;7500),N33/1.18,N33),(O33-IF(AND(N33&gt;7500,O33&gt;7500),N33/1.18,N33))/(1+IF(O33&lt;=1000,0,IF(O33&lt;=7500,0.05,0.18)))))/(IF(AND(N33&gt;7500,O33&gt;7500),N33/1.18,N33)))</f>
        <v/>
      </c>
      <c r="R33" s="15" t="str">
        <f aca="false">IF(OR(N33="",O33=""),"",((O33-N33)/1.18)/N33)</f>
        <v/>
      </c>
      <c r="S33" s="15" t="str">
        <f aca="false">IF(OR(P33="",O33=""),"",(P33-O33)/O33)</f>
        <v/>
      </c>
      <c r="T33" s="9" t="str">
        <f aca="false">IF(AND(D33="",G33&lt;&gt;""),"no dates - assumed 1 night",IF(Q33="","",IF(Q33&gt;1.5,"check: markup &gt;150%",IF(Q33&lt;0,"below cost",""))))</f>
        <v/>
      </c>
    </row>
    <row r="34" customFormat="false" ht="15" hidden="false" customHeight="false" outlineLevel="0" collapsed="false">
      <c r="A34" s="9" t="s">
        <v>10</v>
      </c>
      <c r="B34" s="9" t="s">
        <v>107</v>
      </c>
      <c r="C34" s="9" t="s">
        <v>44</v>
      </c>
      <c r="D34" s="10" t="s">
        <v>45</v>
      </c>
      <c r="E34" s="10" t="s">
        <v>89</v>
      </c>
      <c r="F34" s="9" t="n">
        <f aca="false">IF(OR(D34="",E34=""),1,MAX(1,DATEVALUE(E34)-DATEVALUE(D34)))</f>
        <v>2</v>
      </c>
      <c r="G34" s="11"/>
      <c r="H34" s="11" t="n">
        <v>28318</v>
      </c>
      <c r="I34" s="11"/>
      <c r="J34" s="11"/>
      <c r="K34" s="11"/>
      <c r="L34" s="12"/>
      <c r="M34" s="13"/>
      <c r="N34" s="14" t="str">
        <f aca="false">IF(G34="","",G34/F34)</f>
        <v/>
      </c>
      <c r="O34" s="14" t="n">
        <f aca="false">IF(COUNT(H34:K34)=0,"",MIN(H34:K34)/F34)</f>
        <v>14159</v>
      </c>
      <c r="P34" s="14" t="str">
        <f aca="false">IF(L34="","",L34*95/F34)</f>
        <v/>
      </c>
      <c r="Q34" s="15" t="str">
        <f aca="false">IF(OR(N34="",O34=""),"",(IF(AND(N34&gt;7500,O34&gt;7500),O34/(1+IF(O34&lt;=1000,0,IF(O34&lt;=7500,0.05,0.18)))-IF(AND(N34&gt;7500,O34&gt;7500),N34/1.18,N34),(O34-IF(AND(N34&gt;7500,O34&gt;7500),N34/1.18,N34))/(1+IF(O34&lt;=1000,0,IF(O34&lt;=7500,0.05,0.18)))))/(IF(AND(N34&gt;7500,O34&gt;7500),N34/1.18,N34)))</f>
        <v/>
      </c>
      <c r="R34" s="15" t="str">
        <f aca="false">IF(OR(N34="",O34=""),"",((O34-N34)/1.18)/N34)</f>
        <v/>
      </c>
      <c r="S34" s="15" t="str">
        <f aca="false">IF(OR(P34="",O34=""),"",(P34-O34)/O34)</f>
        <v/>
      </c>
      <c r="T34" s="9" t="str">
        <f aca="false">IF(AND(D34="",G34&lt;&gt;""),"no dates - assumed 1 night",IF(Q34="","",IF(Q34&gt;1.5,"check: markup &gt;150%",IF(Q34&lt;0,"below cost",""))))</f>
        <v/>
      </c>
    </row>
    <row r="35" customFormat="false" ht="15" hidden="false" customHeight="false" outlineLevel="0" collapsed="false">
      <c r="A35" s="9" t="s">
        <v>10</v>
      </c>
      <c r="B35" s="9" t="s">
        <v>107</v>
      </c>
      <c r="C35" s="9" t="s">
        <v>47</v>
      </c>
      <c r="D35" s="10" t="s">
        <v>90</v>
      </c>
      <c r="E35" s="10" t="s">
        <v>91</v>
      </c>
      <c r="F35" s="9" t="n">
        <f aca="false">IF(OR(D35="",E35=""),1,MAX(1,DATEVALUE(E35)-DATEVALUE(D35)))</f>
        <v>1</v>
      </c>
      <c r="G35" s="11"/>
      <c r="H35" s="11" t="n">
        <v>13570</v>
      </c>
      <c r="I35" s="11"/>
      <c r="J35" s="11"/>
      <c r="K35" s="11"/>
      <c r="L35" s="12"/>
      <c r="M35" s="13"/>
      <c r="N35" s="14" t="str">
        <f aca="false">IF(G35="","",G35/F35)</f>
        <v/>
      </c>
      <c r="O35" s="14" t="n">
        <f aca="false">IF(COUNT(H35:K35)=0,"",MIN(H35:K35)/F35)</f>
        <v>13570</v>
      </c>
      <c r="P35" s="14" t="str">
        <f aca="false">IF(L35="","",L35*95/F35)</f>
        <v/>
      </c>
      <c r="Q35" s="15" t="str">
        <f aca="false">IF(OR(N35="",O35=""),"",(IF(AND(N35&gt;7500,O35&gt;7500),O35/(1+IF(O35&lt;=1000,0,IF(O35&lt;=7500,0.05,0.18)))-IF(AND(N35&gt;7500,O35&gt;7500),N35/1.18,N35),(O35-IF(AND(N35&gt;7500,O35&gt;7500),N35/1.18,N35))/(1+IF(O35&lt;=1000,0,IF(O35&lt;=7500,0.05,0.18)))))/(IF(AND(N35&gt;7500,O35&gt;7500),N35/1.18,N35)))</f>
        <v/>
      </c>
      <c r="R35" s="15" t="str">
        <f aca="false">IF(OR(N35="",O35=""),"",((O35-N35)/1.18)/N35)</f>
        <v/>
      </c>
      <c r="S35" s="15" t="str">
        <f aca="false">IF(OR(P35="",O35=""),"",(P35-O35)/O35)</f>
        <v/>
      </c>
      <c r="T35" s="9" t="str">
        <f aca="false">IF(AND(D35="",G35&lt;&gt;""),"no dates - assumed 1 night",IF(Q35="","",IF(Q35&gt;1.5,"check: markup &gt;150%",IF(Q35&lt;0,"below cost",""))))</f>
        <v/>
      </c>
    </row>
    <row r="36" customFormat="false" ht="15" hidden="false" customHeight="false" outlineLevel="0" collapsed="false">
      <c r="A36" s="9" t="s">
        <v>10</v>
      </c>
      <c r="B36" s="9" t="s">
        <v>107</v>
      </c>
      <c r="C36" s="9" t="s">
        <v>50</v>
      </c>
      <c r="D36" s="10" t="s">
        <v>92</v>
      </c>
      <c r="E36" s="10" t="s">
        <v>93</v>
      </c>
      <c r="F36" s="9" t="n">
        <f aca="false">IF(OR(D36="",E36=""),1,MAX(1,DATEVALUE(E36)-DATEVALUE(D36)))</f>
        <v>1</v>
      </c>
      <c r="G36" s="11"/>
      <c r="H36" s="11" t="n">
        <v>13570</v>
      </c>
      <c r="I36" s="11"/>
      <c r="J36" s="11"/>
      <c r="K36" s="11"/>
      <c r="L36" s="12"/>
      <c r="M36" s="13"/>
      <c r="N36" s="14" t="str">
        <f aca="false">IF(G36="","",G36/F36)</f>
        <v/>
      </c>
      <c r="O36" s="14" t="n">
        <f aca="false">IF(COUNT(H36:K36)=0,"",MIN(H36:K36)/F36)</f>
        <v>13570</v>
      </c>
      <c r="P36" s="14" t="str">
        <f aca="false">IF(L36="","",L36*95/F36)</f>
        <v/>
      </c>
      <c r="Q36" s="15" t="str">
        <f aca="false">IF(OR(N36="",O36=""),"",(IF(AND(N36&gt;7500,O36&gt;7500),O36/(1+IF(O36&lt;=1000,0,IF(O36&lt;=7500,0.05,0.18)))-IF(AND(N36&gt;7500,O36&gt;7500),N36/1.18,N36),(O36-IF(AND(N36&gt;7500,O36&gt;7500),N36/1.18,N36))/(1+IF(O36&lt;=1000,0,IF(O36&lt;=7500,0.05,0.18)))))/(IF(AND(N36&gt;7500,O36&gt;7500),N36/1.18,N36)))</f>
        <v/>
      </c>
      <c r="R36" s="15" t="str">
        <f aca="false">IF(OR(N36="",O36=""),"",((O36-N36)/1.18)/N36)</f>
        <v/>
      </c>
      <c r="S36" s="15" t="str">
        <f aca="false">IF(OR(P36="",O36=""),"",(P36-O36)/O36)</f>
        <v/>
      </c>
      <c r="T36" s="9" t="str">
        <f aca="false">IF(AND(D36="",G36&lt;&gt;""),"no dates - assumed 1 night",IF(Q36="","",IF(Q36&gt;1.5,"check: markup &gt;150%",IF(Q36&lt;0,"below cost",""))))</f>
        <v/>
      </c>
    </row>
    <row r="37" customFormat="false" ht="15" hidden="false" customHeight="false" outlineLevel="0" collapsed="false">
      <c r="A37" s="9" t="s">
        <v>10</v>
      </c>
      <c r="B37" s="9" t="s">
        <v>107</v>
      </c>
      <c r="C37" s="9" t="s">
        <v>54</v>
      </c>
      <c r="D37" s="10" t="s">
        <v>95</v>
      </c>
      <c r="E37" s="10" t="s">
        <v>96</v>
      </c>
      <c r="F37" s="9" t="n">
        <f aca="false">IF(OR(D37="",E37=""),1,MAX(1,DATEVALUE(E37)-DATEVALUE(D37)))</f>
        <v>2</v>
      </c>
      <c r="G37" s="11"/>
      <c r="H37" s="11" t="n">
        <v>27138</v>
      </c>
      <c r="I37" s="11"/>
      <c r="J37" s="11"/>
      <c r="K37" s="11"/>
      <c r="L37" s="12"/>
      <c r="M37" s="13"/>
      <c r="N37" s="14" t="str">
        <f aca="false">IF(G37="","",G37/F37)</f>
        <v/>
      </c>
      <c r="O37" s="14" t="n">
        <f aca="false">IF(COUNT(H37:K37)=0,"",MIN(H37:K37)/F37)</f>
        <v>13569</v>
      </c>
      <c r="P37" s="14" t="str">
        <f aca="false">IF(L37="","",L37*95/F37)</f>
        <v/>
      </c>
      <c r="Q37" s="15" t="str">
        <f aca="false">IF(OR(N37="",O37=""),"",(IF(AND(N37&gt;7500,O37&gt;7500),O37/(1+IF(O37&lt;=1000,0,IF(O37&lt;=7500,0.05,0.18)))-IF(AND(N37&gt;7500,O37&gt;7500),N37/1.18,N37),(O37-IF(AND(N37&gt;7500,O37&gt;7500),N37/1.18,N37))/(1+IF(O37&lt;=1000,0,IF(O37&lt;=7500,0.05,0.18)))))/(IF(AND(N37&gt;7500,O37&gt;7500),N37/1.18,N37)))</f>
        <v/>
      </c>
      <c r="R37" s="15" t="str">
        <f aca="false">IF(OR(N37="",O37=""),"",((O37-N37)/1.18)/N37)</f>
        <v/>
      </c>
      <c r="S37" s="15" t="str">
        <f aca="false">IF(OR(P37="",O37=""),"",(P37-O37)/O37)</f>
        <v/>
      </c>
      <c r="T37" s="9" t="str">
        <f aca="false">IF(AND(D37="",G37&lt;&gt;""),"no dates - assumed 1 night",IF(Q37="","",IF(Q37&gt;1.5,"check: markup &gt;150%",IF(Q37&lt;0,"below cost",""))))</f>
        <v/>
      </c>
    </row>
    <row r="38" customFormat="false" ht="15" hidden="false" customHeight="false" outlineLevel="0" collapsed="false">
      <c r="A38" s="9" t="s">
        <v>10</v>
      </c>
      <c r="B38" s="9" t="s">
        <v>108</v>
      </c>
      <c r="C38" s="9" t="s">
        <v>41</v>
      </c>
      <c r="D38" s="10" t="s">
        <v>88</v>
      </c>
      <c r="E38" s="10" t="s">
        <v>43</v>
      </c>
      <c r="F38" s="9" t="n">
        <f aca="false">IF(OR(D38="",E38=""),1,MAX(1,DATEVALUE(E38)-DATEVALUE(D38)))</f>
        <v>2</v>
      </c>
      <c r="G38" s="11" t="n">
        <v>38692</v>
      </c>
      <c r="H38" s="11" t="n">
        <v>39716</v>
      </c>
      <c r="I38" s="11"/>
      <c r="J38" s="11"/>
      <c r="K38" s="11"/>
      <c r="L38" s="12"/>
      <c r="M38" s="13"/>
      <c r="N38" s="14" t="n">
        <f aca="false">IF(G38="","",G38/F38)</f>
        <v>19346</v>
      </c>
      <c r="O38" s="14" t="n">
        <f aca="false">IF(COUNT(H38:K38)=0,"",MIN(H38:K38)/F38)</f>
        <v>19858</v>
      </c>
      <c r="P38" s="14" t="str">
        <f aca="false">IF(L38="","",L38*95/F38)</f>
        <v/>
      </c>
      <c r="Q38" s="15" t="n">
        <f aca="false">IF(OR(N38="",O38=""),"",(IF(AND(N38&gt;7500,O38&gt;7500),O38/(1+IF(O38&lt;=1000,0,IF(O38&lt;=7500,0.05,0.18)))-IF(AND(N38&gt;7500,O38&gt;7500),N38/1.18,N38),(O38-IF(AND(N38&gt;7500,O38&gt;7500),N38/1.18,N38))/(1+IF(O38&lt;=1000,0,IF(O38&lt;=7500,0.05,0.18)))))/(IF(AND(N38&gt;7500,O38&gt;7500),N38/1.18,N38)))</f>
        <v>0.026465419208105</v>
      </c>
      <c r="R38" s="15" t="n">
        <f aca="false">IF(OR(N38="",O38=""),"",((O38-N38)/1.18)/N38)</f>
        <v>0.0224283213628009</v>
      </c>
      <c r="S38" s="15" t="str">
        <f aca="false">IF(OR(P38="",O38=""),"",(P38-O38)/O38)</f>
        <v/>
      </c>
      <c r="T38" s="9" t="str">
        <f aca="false">IF(AND(D38="",G38&lt;&gt;""),"no dates - assumed 1 night",IF(Q38="","",IF(Q38&gt;1.5,"check: markup &gt;150%",IF(Q38&lt;0,"below cost",""))))</f>
        <v/>
      </c>
    </row>
    <row r="39" customFormat="false" ht="15" hidden="false" customHeight="false" outlineLevel="0" collapsed="false">
      <c r="A39" s="9" t="s">
        <v>10</v>
      </c>
      <c r="B39" s="9" t="s">
        <v>108</v>
      </c>
      <c r="C39" s="9" t="s">
        <v>44</v>
      </c>
      <c r="D39" s="10" t="s">
        <v>45</v>
      </c>
      <c r="E39" s="10" t="s">
        <v>89</v>
      </c>
      <c r="F39" s="9" t="n">
        <f aca="false">IF(OR(D39="",E39=""),1,MAX(1,DATEVALUE(E39)-DATEVALUE(D39)))</f>
        <v>2</v>
      </c>
      <c r="G39" s="11" t="n">
        <v>38122</v>
      </c>
      <c r="H39" s="11"/>
      <c r="I39" s="11"/>
      <c r="J39" s="11"/>
      <c r="K39" s="11"/>
      <c r="L39" s="12"/>
      <c r="M39" s="13"/>
      <c r="N39" s="14" t="n">
        <f aca="false">IF(G39="","",G39/F39)</f>
        <v>19061</v>
      </c>
      <c r="O39" s="14" t="str">
        <f aca="false">IF(COUNT(H39:K39)=0,"",MIN(H39:K39)/F39)</f>
        <v/>
      </c>
      <c r="P39" s="14" t="str">
        <f aca="false">IF(L39="","",L39*95/F39)</f>
        <v/>
      </c>
      <c r="Q39" s="15" t="str">
        <f aca="false">IF(OR(N39="",O39=""),"",(IF(AND(N39&gt;7500,O39&gt;7500),O39/(1+IF(O39&lt;=1000,0,IF(O39&lt;=7500,0.05,0.18)))-IF(AND(N39&gt;7500,O39&gt;7500),N39/1.18,N39),(O39-IF(AND(N39&gt;7500,O39&gt;7500),N39/1.18,N39))/(1+IF(O39&lt;=1000,0,IF(O39&lt;=7500,0.05,0.18)))))/(IF(AND(N39&gt;7500,O39&gt;7500),N39/1.18,N39)))</f>
        <v/>
      </c>
      <c r="R39" s="15" t="str">
        <f aca="false">IF(OR(N39="",O39=""),"",((O39-N39)/1.18)/N39)</f>
        <v/>
      </c>
      <c r="S39" s="15" t="str">
        <f aca="false">IF(OR(P39="",O39=""),"",(P39-O39)/O39)</f>
        <v/>
      </c>
      <c r="T39" s="9" t="str">
        <f aca="false">IF(AND(D39="",G39&lt;&gt;""),"no dates - assumed 1 night",IF(Q39="","",IF(Q39&gt;1.5,"check: markup &gt;150%",IF(Q39&lt;0,"below cost",""))))</f>
        <v/>
      </c>
    </row>
    <row r="40" customFormat="false" ht="15" hidden="false" customHeight="false" outlineLevel="0" collapsed="false">
      <c r="A40" s="9" t="s">
        <v>10</v>
      </c>
      <c r="B40" s="9" t="s">
        <v>108</v>
      </c>
      <c r="C40" s="9" t="s">
        <v>47</v>
      </c>
      <c r="D40" s="10" t="s">
        <v>90</v>
      </c>
      <c r="E40" s="10" t="s">
        <v>91</v>
      </c>
      <c r="F40" s="9" t="n">
        <f aca="false">IF(OR(D40="",E40=""),1,MAX(1,DATEVALUE(E40)-DATEVALUE(D40)))</f>
        <v>1</v>
      </c>
      <c r="G40" s="11" t="n">
        <v>15283</v>
      </c>
      <c r="H40" s="11" t="n">
        <v>15689</v>
      </c>
      <c r="I40" s="11"/>
      <c r="J40" s="11"/>
      <c r="K40" s="11"/>
      <c r="L40" s="12"/>
      <c r="M40" s="13"/>
      <c r="N40" s="14" t="n">
        <f aca="false">IF(G40="","",G40/F40)</f>
        <v>15283</v>
      </c>
      <c r="O40" s="14" t="n">
        <f aca="false">IF(COUNT(H40:K40)=0,"",MIN(H40:K40)/F40)</f>
        <v>15689</v>
      </c>
      <c r="P40" s="14" t="str">
        <f aca="false">IF(L40="","",L40*95/F40)</f>
        <v/>
      </c>
      <c r="Q40" s="15" t="n">
        <f aca="false">IF(OR(N40="",O40=""),"",(IF(AND(N40&gt;7500,O40&gt;7500),O40/(1+IF(O40&lt;=1000,0,IF(O40&lt;=7500,0.05,0.18)))-IF(AND(N40&gt;7500,O40&gt;7500),N40/1.18,N40),(O40-IF(AND(N40&gt;7500,O40&gt;7500),N40/1.18,N40))/(1+IF(O40&lt;=1000,0,IF(O40&lt;=7500,0.05,0.18)))))/(IF(AND(N40&gt;7500,O40&gt;7500),N40/1.18,N40)))</f>
        <v>0.0265654648956356</v>
      </c>
      <c r="R40" s="15" t="n">
        <f aca="false">IF(OR(N40="",O40=""),"",((O40-N40)/1.18)/N40)</f>
        <v>0.022513105843759</v>
      </c>
      <c r="S40" s="15" t="str">
        <f aca="false">IF(OR(P40="",O40=""),"",(P40-O40)/O40)</f>
        <v/>
      </c>
      <c r="T40" s="9" t="str">
        <f aca="false">IF(AND(D40="",G40&lt;&gt;""),"no dates - assumed 1 night",IF(Q40="","",IF(Q40&gt;1.5,"check: markup &gt;150%",IF(Q40&lt;0,"below cost",""))))</f>
        <v/>
      </c>
    </row>
    <row r="41" customFormat="false" ht="15" hidden="false" customHeight="false" outlineLevel="0" collapsed="false">
      <c r="A41" s="9" t="s">
        <v>10</v>
      </c>
      <c r="B41" s="9" t="s">
        <v>108</v>
      </c>
      <c r="C41" s="9" t="s">
        <v>50</v>
      </c>
      <c r="D41" s="10" t="s">
        <v>92</v>
      </c>
      <c r="E41" s="10" t="s">
        <v>93</v>
      </c>
      <c r="F41" s="9" t="n">
        <f aca="false">IF(OR(D41="",E41=""),1,MAX(1,DATEVALUE(E41)-DATEVALUE(D41)))</f>
        <v>1</v>
      </c>
      <c r="G41" s="11" t="n">
        <v>15283</v>
      </c>
      <c r="H41" s="11" t="n">
        <v>15689</v>
      </c>
      <c r="I41" s="11"/>
      <c r="J41" s="11"/>
      <c r="K41" s="11"/>
      <c r="L41" s="12"/>
      <c r="M41" s="13"/>
      <c r="N41" s="14" t="n">
        <f aca="false">IF(G41="","",G41/F41)</f>
        <v>15283</v>
      </c>
      <c r="O41" s="14" t="n">
        <f aca="false">IF(COUNT(H41:K41)=0,"",MIN(H41:K41)/F41)</f>
        <v>15689</v>
      </c>
      <c r="P41" s="14" t="str">
        <f aca="false">IF(L41="","",L41*95/F41)</f>
        <v/>
      </c>
      <c r="Q41" s="15" t="n">
        <f aca="false">IF(OR(N41="",O41=""),"",(IF(AND(N41&gt;7500,O41&gt;7500),O41/(1+IF(O41&lt;=1000,0,IF(O41&lt;=7500,0.05,0.18)))-IF(AND(N41&gt;7500,O41&gt;7500),N41/1.18,N41),(O41-IF(AND(N41&gt;7500,O41&gt;7500),N41/1.18,N41))/(1+IF(O41&lt;=1000,0,IF(O41&lt;=7500,0.05,0.18)))))/(IF(AND(N41&gt;7500,O41&gt;7500),N41/1.18,N41)))</f>
        <v>0.0265654648956356</v>
      </c>
      <c r="R41" s="15" t="n">
        <f aca="false">IF(OR(N41="",O41=""),"",((O41-N41)/1.18)/N41)</f>
        <v>0.022513105843759</v>
      </c>
      <c r="S41" s="15" t="str">
        <f aca="false">IF(OR(P41="",O41=""),"",(P41-O41)/O41)</f>
        <v/>
      </c>
      <c r="T41" s="9" t="str">
        <f aca="false">IF(AND(D41="",G41&lt;&gt;""),"no dates - assumed 1 night",IF(Q41="","",IF(Q41&gt;1.5,"check: markup &gt;150%",IF(Q41&lt;0,"below cost",""))))</f>
        <v/>
      </c>
    </row>
    <row r="42" customFormat="false" ht="15" hidden="false" customHeight="false" outlineLevel="0" collapsed="false">
      <c r="A42" s="9" t="s">
        <v>10</v>
      </c>
      <c r="B42" s="9" t="s">
        <v>108</v>
      </c>
      <c r="C42" s="9" t="s">
        <v>54</v>
      </c>
      <c r="D42" s="10" t="s">
        <v>95</v>
      </c>
      <c r="E42" s="10" t="s">
        <v>96</v>
      </c>
      <c r="F42" s="9" t="n">
        <f aca="false">IF(OR(D42="",E42=""),1,MAX(1,DATEVALUE(E42)-DATEVALUE(D42)))</f>
        <v>2</v>
      </c>
      <c r="G42" s="11" t="n">
        <v>38122</v>
      </c>
      <c r="H42" s="11" t="n">
        <v>39131</v>
      </c>
      <c r="I42" s="11"/>
      <c r="J42" s="11"/>
      <c r="K42" s="11"/>
      <c r="L42" s="12"/>
      <c r="M42" s="13"/>
      <c r="N42" s="14" t="n">
        <f aca="false">IF(G42="","",G42/F42)</f>
        <v>19061</v>
      </c>
      <c r="O42" s="14" t="n">
        <f aca="false">IF(COUNT(H42:K42)=0,"",MIN(H42:K42)/F42)</f>
        <v>19565.5</v>
      </c>
      <c r="P42" s="14" t="str">
        <f aca="false">IF(L42="","",L42*95/F42)</f>
        <v/>
      </c>
      <c r="Q42" s="15" t="n">
        <f aca="false">IF(OR(N42="",O42=""),"",(IF(AND(N42&gt;7500,O42&gt;7500),O42/(1+IF(O42&lt;=1000,0,IF(O42&lt;=7500,0.05,0.18)))-IF(AND(N42&gt;7500,O42&gt;7500),N42/1.18,N42),(O42-IF(AND(N42&gt;7500,O42&gt;7500),N42/1.18,N42))/(1+IF(O42&lt;=1000,0,IF(O42&lt;=7500,0.05,0.18)))))/(IF(AND(N42&gt;7500,O42&gt;7500),N42/1.18,N42)))</f>
        <v>0.0264676564713289</v>
      </c>
      <c r="R42" s="15" t="n">
        <f aca="false">IF(OR(N42="",O42=""),"",((O42-N42)/1.18)/N42)</f>
        <v>0.0224302173485838</v>
      </c>
      <c r="S42" s="15" t="str">
        <f aca="false">IF(OR(P42="",O42=""),"",(P42-O42)/O42)</f>
        <v/>
      </c>
      <c r="T42" s="9" t="str">
        <f aca="false">IF(AND(D42="",G42&lt;&gt;""),"no dates - assumed 1 night",IF(Q42="","",IF(Q42&gt;1.5,"check: markup &gt;150%",IF(Q42&lt;0,"below cost",""))))</f>
        <v/>
      </c>
    </row>
    <row r="43" customFormat="false" ht="15" hidden="false" customHeight="false" outlineLevel="0" collapsed="false">
      <c r="A43" s="9" t="s">
        <v>10</v>
      </c>
      <c r="B43" s="9" t="s">
        <v>109</v>
      </c>
      <c r="C43" s="9" t="s">
        <v>41</v>
      </c>
      <c r="D43" s="10" t="s">
        <v>95</v>
      </c>
      <c r="E43" s="10" t="s">
        <v>96</v>
      </c>
      <c r="F43" s="9" t="n">
        <f aca="false">IF(OR(D43="",E43=""),1,MAX(1,DATEVALUE(E43)-DATEVALUE(D43)))</f>
        <v>2</v>
      </c>
      <c r="G43" s="11" t="n">
        <v>21227</v>
      </c>
      <c r="H43" s="11"/>
      <c r="I43" s="11"/>
      <c r="J43" s="11"/>
      <c r="K43" s="11"/>
      <c r="L43" s="12"/>
      <c r="M43" s="13"/>
      <c r="N43" s="14" t="n">
        <f aca="false">IF(G43="","",G43/F43)</f>
        <v>10613.5</v>
      </c>
      <c r="O43" s="14" t="str">
        <f aca="false">IF(COUNT(H43:K43)=0,"",MIN(H43:K43)/F43)</f>
        <v/>
      </c>
      <c r="P43" s="14" t="str">
        <f aca="false">IF(L43="","",L43*95/F43)</f>
        <v/>
      </c>
      <c r="Q43" s="15" t="str">
        <f aca="false">IF(OR(N43="",O43=""),"",(IF(AND(N43&gt;7500,O43&gt;7500),O43/(1+IF(O43&lt;=1000,0,IF(O43&lt;=7500,0.05,0.18)))-IF(AND(N43&gt;7500,O43&gt;7500),N43/1.18,N43),(O43-IF(AND(N43&gt;7500,O43&gt;7500),N43/1.18,N43))/(1+IF(O43&lt;=1000,0,IF(O43&lt;=7500,0.05,0.18)))))/(IF(AND(N43&gt;7500,O43&gt;7500),N43/1.18,N43)))</f>
        <v/>
      </c>
      <c r="R43" s="15" t="str">
        <f aca="false">IF(OR(N43="",O43=""),"",((O43-N43)/1.18)/N43)</f>
        <v/>
      </c>
      <c r="S43" s="15" t="str">
        <f aca="false">IF(OR(P43="",O43=""),"",(P43-O43)/O43)</f>
        <v/>
      </c>
      <c r="T43" s="9" t="str">
        <f aca="false">IF(AND(D43="",G43&lt;&gt;""),"no dates - assumed 1 night",IF(Q43="","",IF(Q43&gt;1.5,"check: markup &gt;150%",IF(Q43&lt;0,"below cost",""))))</f>
        <v/>
      </c>
    </row>
    <row r="44" customFormat="false" ht="15" hidden="false" customHeight="false" outlineLevel="0" collapsed="false">
      <c r="A44" s="9" t="s">
        <v>10</v>
      </c>
      <c r="B44" s="9" t="s">
        <v>109</v>
      </c>
      <c r="C44" s="9" t="s">
        <v>44</v>
      </c>
      <c r="D44" s="10" t="s">
        <v>99</v>
      </c>
      <c r="E44" s="10" t="s">
        <v>89</v>
      </c>
      <c r="F44" s="9" t="n">
        <f aca="false">IF(OR(D44="",E44=""),1,MAX(1,DATEVALUE(E44)-DATEVALUE(D44)))</f>
        <v>3</v>
      </c>
      <c r="G44" s="11" t="n">
        <v>31841</v>
      </c>
      <c r="H44" s="11"/>
      <c r="I44" s="11"/>
      <c r="J44" s="11"/>
      <c r="K44" s="11"/>
      <c r="L44" s="12"/>
      <c r="M44" s="13"/>
      <c r="N44" s="14" t="n">
        <f aca="false">IF(G44="","",G44/F44)</f>
        <v>10613.6666666667</v>
      </c>
      <c r="O44" s="14" t="str">
        <f aca="false">IF(COUNT(H44:K44)=0,"",MIN(H44:K44)/F44)</f>
        <v/>
      </c>
      <c r="P44" s="14" t="str">
        <f aca="false">IF(L44="","",L44*95/F44)</f>
        <v/>
      </c>
      <c r="Q44" s="15" t="str">
        <f aca="false">IF(OR(N44="",O44=""),"",(IF(AND(N44&gt;7500,O44&gt;7500),O44/(1+IF(O44&lt;=1000,0,IF(O44&lt;=7500,0.05,0.18)))-IF(AND(N44&gt;7500,O44&gt;7500),N44/1.18,N44),(O44-IF(AND(N44&gt;7500,O44&gt;7500),N44/1.18,N44))/(1+IF(O44&lt;=1000,0,IF(O44&lt;=7500,0.05,0.18)))))/(IF(AND(N44&gt;7500,O44&gt;7500),N44/1.18,N44)))</f>
        <v/>
      </c>
      <c r="R44" s="15" t="str">
        <f aca="false">IF(OR(N44="",O44=""),"",((O44-N44)/1.18)/N44)</f>
        <v/>
      </c>
      <c r="S44" s="15" t="str">
        <f aca="false">IF(OR(P44="",O44=""),"",(P44-O44)/O44)</f>
        <v/>
      </c>
      <c r="T44" s="9" t="str">
        <f aca="false">IF(AND(D44="",G44&lt;&gt;""),"no dates - assumed 1 night",IF(Q44="","",IF(Q44&gt;1.5,"check: markup &gt;150%",IF(Q44&lt;0,"below cost",""))))</f>
        <v/>
      </c>
    </row>
    <row r="45" customFormat="false" ht="15" hidden="false" customHeight="false" outlineLevel="0" collapsed="false">
      <c r="A45" s="9" t="s">
        <v>10</v>
      </c>
      <c r="B45" s="9" t="s">
        <v>109</v>
      </c>
      <c r="C45" s="9" t="s">
        <v>47</v>
      </c>
      <c r="D45" s="10" t="s">
        <v>102</v>
      </c>
      <c r="E45" s="10" t="s">
        <v>91</v>
      </c>
      <c r="F45" s="9" t="n">
        <f aca="false">IF(OR(D45="",E45=""),1,MAX(1,DATEVALUE(E45)-DATEVALUE(D45)))</f>
        <v>2</v>
      </c>
      <c r="G45" s="11" t="n">
        <v>19047</v>
      </c>
      <c r="H45" s="11"/>
      <c r="I45" s="11"/>
      <c r="J45" s="11"/>
      <c r="K45" s="11"/>
      <c r="L45" s="12"/>
      <c r="M45" s="13"/>
      <c r="N45" s="14" t="n">
        <f aca="false">IF(G45="","",G45/F45)</f>
        <v>9523.5</v>
      </c>
      <c r="O45" s="14" t="str">
        <f aca="false">IF(COUNT(H45:K45)=0,"",MIN(H45:K45)/F45)</f>
        <v/>
      </c>
      <c r="P45" s="14" t="str">
        <f aca="false">IF(L45="","",L45*95/F45)</f>
        <v/>
      </c>
      <c r="Q45" s="15" t="str">
        <f aca="false">IF(OR(N45="",O45=""),"",(IF(AND(N45&gt;7500,O45&gt;7500),O45/(1+IF(O45&lt;=1000,0,IF(O45&lt;=7500,0.05,0.18)))-IF(AND(N45&gt;7500,O45&gt;7500),N45/1.18,N45),(O45-IF(AND(N45&gt;7500,O45&gt;7500),N45/1.18,N45))/(1+IF(O45&lt;=1000,0,IF(O45&lt;=7500,0.05,0.18)))))/(IF(AND(N45&gt;7500,O45&gt;7500),N45/1.18,N45)))</f>
        <v/>
      </c>
      <c r="R45" s="15" t="str">
        <f aca="false">IF(OR(N45="",O45=""),"",((O45-N45)/1.18)/N45)</f>
        <v/>
      </c>
      <c r="S45" s="15" t="str">
        <f aca="false">IF(OR(P45="",O45=""),"",(P45-O45)/O45)</f>
        <v/>
      </c>
      <c r="T45" s="9" t="str">
        <f aca="false">IF(AND(D45="",G45&lt;&gt;""),"no dates - assumed 1 night",IF(Q45="","",IF(Q45&gt;1.5,"check: markup &gt;150%",IF(Q45&lt;0,"below cost",""))))</f>
        <v/>
      </c>
    </row>
    <row r="46" customFormat="false" ht="15" hidden="false" customHeight="false" outlineLevel="0" collapsed="false">
      <c r="A46" s="9" t="s">
        <v>10</v>
      </c>
      <c r="B46" s="9" t="s">
        <v>109</v>
      </c>
      <c r="C46" s="9" t="s">
        <v>50</v>
      </c>
      <c r="D46" s="10" t="s">
        <v>100</v>
      </c>
      <c r="E46" s="10" t="s">
        <v>93</v>
      </c>
      <c r="F46" s="9" t="n">
        <f aca="false">IF(OR(D46="",E46=""),1,MAX(1,DATEVALUE(E46)-DATEVALUE(D46)))</f>
        <v>2</v>
      </c>
      <c r="G46" s="11" t="n">
        <v>65394</v>
      </c>
      <c r="H46" s="11"/>
      <c r="I46" s="11"/>
      <c r="J46" s="11"/>
      <c r="K46" s="11"/>
      <c r="L46" s="12"/>
      <c r="M46" s="13"/>
      <c r="N46" s="14" t="n">
        <f aca="false">IF(G46="","",G46/F46)</f>
        <v>32697</v>
      </c>
      <c r="O46" s="14" t="str">
        <f aca="false">IF(COUNT(H46:K46)=0,"",MIN(H46:K46)/F46)</f>
        <v/>
      </c>
      <c r="P46" s="14" t="str">
        <f aca="false">IF(L46="","",L46*95/F46)</f>
        <v/>
      </c>
      <c r="Q46" s="15" t="str">
        <f aca="false">IF(OR(N46="",O46=""),"",(IF(AND(N46&gt;7500,O46&gt;7500),O46/(1+IF(O46&lt;=1000,0,IF(O46&lt;=7500,0.05,0.18)))-IF(AND(N46&gt;7500,O46&gt;7500),N46/1.18,N46),(O46-IF(AND(N46&gt;7500,O46&gt;7500),N46/1.18,N46))/(1+IF(O46&lt;=1000,0,IF(O46&lt;=7500,0.05,0.18)))))/(IF(AND(N46&gt;7500,O46&gt;7500),N46/1.18,N46)))</f>
        <v/>
      </c>
      <c r="R46" s="15" t="str">
        <f aca="false">IF(OR(N46="",O46=""),"",((O46-N46)/1.18)/N46)</f>
        <v/>
      </c>
      <c r="S46" s="15" t="str">
        <f aca="false">IF(OR(P46="",O46=""),"",(P46-O46)/O46)</f>
        <v/>
      </c>
      <c r="T46" s="9" t="str">
        <f aca="false">IF(AND(D46="",G46&lt;&gt;""),"no dates - assumed 1 night",IF(Q46="","",IF(Q46&gt;1.5,"check: markup &gt;150%",IF(Q46&lt;0,"below cost",""))))</f>
        <v/>
      </c>
    </row>
    <row r="47" customFormat="false" ht="15" hidden="false" customHeight="false" outlineLevel="0" collapsed="false">
      <c r="A47" s="9" t="s">
        <v>10</v>
      </c>
      <c r="B47" s="9" t="s">
        <v>109</v>
      </c>
      <c r="C47" s="9" t="s">
        <v>54</v>
      </c>
      <c r="D47" s="10" t="s">
        <v>103</v>
      </c>
      <c r="E47" s="10" t="s">
        <v>104</v>
      </c>
      <c r="F47" s="9" t="n">
        <f aca="false">IF(OR(D47="",E47=""),1,MAX(1,DATEVALUE(E47)-DATEVALUE(D47)))</f>
        <v>3</v>
      </c>
      <c r="G47" s="11" t="n">
        <v>98091</v>
      </c>
      <c r="H47" s="11"/>
      <c r="I47" s="11"/>
      <c r="J47" s="11"/>
      <c r="K47" s="11"/>
      <c r="L47" s="12"/>
      <c r="M47" s="13"/>
      <c r="N47" s="14" t="n">
        <f aca="false">IF(G47="","",G47/F47)</f>
        <v>32697</v>
      </c>
      <c r="O47" s="14" t="str">
        <f aca="false">IF(COUNT(H47:K47)=0,"",MIN(H47:K47)/F47)</f>
        <v/>
      </c>
      <c r="P47" s="14" t="str">
        <f aca="false">IF(L47="","",L47*95/F47)</f>
        <v/>
      </c>
      <c r="Q47" s="15" t="str">
        <f aca="false">IF(OR(N47="",O47=""),"",(IF(AND(N47&gt;7500,O47&gt;7500),O47/(1+IF(O47&lt;=1000,0,IF(O47&lt;=7500,0.05,0.18)))-IF(AND(N47&gt;7500,O47&gt;7500),N47/1.18,N47),(O47-IF(AND(N47&gt;7500,O47&gt;7500),N47/1.18,N47))/(1+IF(O47&lt;=1000,0,IF(O47&lt;=7500,0.05,0.18)))))/(IF(AND(N47&gt;7500,O47&gt;7500),N47/1.18,N47)))</f>
        <v/>
      </c>
      <c r="R47" s="15" t="str">
        <f aca="false">IF(OR(N47="",O47=""),"",((O47-N47)/1.18)/N47)</f>
        <v/>
      </c>
      <c r="S47" s="15" t="str">
        <f aca="false">IF(OR(P47="",O47=""),"",(P47-O47)/O47)</f>
        <v/>
      </c>
      <c r="T47" s="9" t="str">
        <f aca="false">IF(AND(D47="",G47&lt;&gt;""),"no dates - assumed 1 night",IF(Q47="","",IF(Q47&gt;1.5,"check: markup &gt;150%",IF(Q47&lt;0,"below cost",""))))</f>
        <v/>
      </c>
    </row>
    <row r="48" customFormat="false" ht="15" hidden="false" customHeight="false" outlineLevel="0" collapsed="false">
      <c r="A48" s="9" t="s">
        <v>10</v>
      </c>
      <c r="B48" s="9" t="s">
        <v>110</v>
      </c>
      <c r="C48" s="9" t="s">
        <v>41</v>
      </c>
      <c r="D48" s="10" t="s">
        <v>88</v>
      </c>
      <c r="E48" s="10" t="s">
        <v>43</v>
      </c>
      <c r="F48" s="9" t="n">
        <f aca="false">IF(OR(D48="",E48=""),1,MAX(1,DATEVALUE(E48)-DATEVALUE(D48)))</f>
        <v>2</v>
      </c>
      <c r="G48" s="11" t="n">
        <v>29847</v>
      </c>
      <c r="H48" s="11" t="n">
        <v>37596</v>
      </c>
      <c r="I48" s="11"/>
      <c r="J48" s="11"/>
      <c r="K48" s="11"/>
      <c r="L48" s="12"/>
      <c r="M48" s="13"/>
      <c r="N48" s="14" t="n">
        <f aca="false">IF(G48="","",G48/F48)</f>
        <v>14923.5</v>
      </c>
      <c r="O48" s="14" t="n">
        <f aca="false">IF(COUNT(H48:K48)=0,"",MIN(H48:K48)/F48)</f>
        <v>18798</v>
      </c>
      <c r="P48" s="14" t="str">
        <f aca="false">IF(L48="","",L48*95/F48)</f>
        <v/>
      </c>
      <c r="Q48" s="15" t="n">
        <f aca="false">IF(OR(N48="",O48=""),"",(IF(AND(N48&gt;7500,O48&gt;7500),O48/(1+IF(O48&lt;=1000,0,IF(O48&lt;=7500,0.05,0.18)))-IF(AND(N48&gt;7500,O48&gt;7500),N48/1.18,N48),(O48-IF(AND(N48&gt;7500,O48&gt;7500),N48/1.18,N48))/(1+IF(O48&lt;=1000,0,IF(O48&lt;=7500,0.05,0.18)))))/(IF(AND(N48&gt;7500,O48&gt;7500),N48/1.18,N48)))</f>
        <v>0.259624082822394</v>
      </c>
      <c r="R48" s="15" t="n">
        <f aca="false">IF(OR(N48="",O48=""),"",((O48-N48)/1.18)/N48)</f>
        <v>0.220020409171521</v>
      </c>
      <c r="S48" s="15" t="str">
        <f aca="false">IF(OR(P48="",O48=""),"",(P48-O48)/O48)</f>
        <v/>
      </c>
      <c r="T48" s="9" t="str">
        <f aca="false">IF(AND(D48="",G48&lt;&gt;""),"no dates - assumed 1 night",IF(Q48="","",IF(Q48&gt;1.5,"check: markup &gt;150%",IF(Q48&lt;0,"below cost",""))))</f>
        <v/>
      </c>
    </row>
    <row r="49" customFormat="false" ht="15" hidden="false" customHeight="false" outlineLevel="0" collapsed="false">
      <c r="A49" s="9" t="s">
        <v>10</v>
      </c>
      <c r="B49" s="9" t="s">
        <v>110</v>
      </c>
      <c r="C49" s="9" t="s">
        <v>44</v>
      </c>
      <c r="D49" s="10" t="s">
        <v>45</v>
      </c>
      <c r="E49" s="10" t="s">
        <v>89</v>
      </c>
      <c r="F49" s="9" t="n">
        <f aca="false">IF(OR(D49="",E49=""),1,MAX(1,DATEVALUE(E49)-DATEVALUE(D49)))</f>
        <v>2</v>
      </c>
      <c r="G49" s="11" t="n">
        <v>29857</v>
      </c>
      <c r="H49" s="11"/>
      <c r="I49" s="11"/>
      <c r="J49" s="11"/>
      <c r="K49" s="11"/>
      <c r="L49" s="12"/>
      <c r="M49" s="13"/>
      <c r="N49" s="14" t="n">
        <f aca="false">IF(G49="","",G49/F49)</f>
        <v>14928.5</v>
      </c>
      <c r="O49" s="14" t="str">
        <f aca="false">IF(COUNT(H49:K49)=0,"",MIN(H49:K49)/F49)</f>
        <v/>
      </c>
      <c r="P49" s="14" t="str">
        <f aca="false">IF(L49="","",L49*95/F49)</f>
        <v/>
      </c>
      <c r="Q49" s="15" t="str">
        <f aca="false">IF(OR(N49="",O49=""),"",(IF(AND(N49&gt;7500,O49&gt;7500),O49/(1+IF(O49&lt;=1000,0,IF(O49&lt;=7500,0.05,0.18)))-IF(AND(N49&gt;7500,O49&gt;7500),N49/1.18,N49),(O49-IF(AND(N49&gt;7500,O49&gt;7500),N49/1.18,N49))/(1+IF(O49&lt;=1000,0,IF(O49&lt;=7500,0.05,0.18)))))/(IF(AND(N49&gt;7500,O49&gt;7500),N49/1.18,N49)))</f>
        <v/>
      </c>
      <c r="R49" s="15" t="str">
        <f aca="false">IF(OR(N49="",O49=""),"",((O49-N49)/1.18)/N49)</f>
        <v/>
      </c>
      <c r="S49" s="15" t="str">
        <f aca="false">IF(OR(P49="",O49=""),"",(P49-O49)/O49)</f>
        <v/>
      </c>
      <c r="T49" s="9" t="str">
        <f aca="false">IF(AND(D49="",G49&lt;&gt;""),"no dates - assumed 1 night",IF(Q49="","",IF(Q49&gt;1.5,"check: markup &gt;150%",IF(Q49&lt;0,"below cost",""))))</f>
        <v/>
      </c>
    </row>
    <row r="50" customFormat="false" ht="15" hidden="false" customHeight="false" outlineLevel="0" collapsed="false">
      <c r="A50" s="9" t="s">
        <v>10</v>
      </c>
      <c r="B50" s="9" t="s">
        <v>110</v>
      </c>
      <c r="C50" s="9" t="s">
        <v>54</v>
      </c>
      <c r="D50" s="10" t="s">
        <v>95</v>
      </c>
      <c r="E50" s="10" t="s">
        <v>96</v>
      </c>
      <c r="F50" s="9" t="n">
        <f aca="false">IF(OR(D50="",E50=""),1,MAX(1,DATEVALUE(E50)-DATEVALUE(D50)))</f>
        <v>2</v>
      </c>
      <c r="G50" s="11" t="n">
        <v>31114</v>
      </c>
      <c r="H50" s="11" t="n">
        <v>37596</v>
      </c>
      <c r="I50" s="11"/>
      <c r="J50" s="11"/>
      <c r="K50" s="11"/>
      <c r="L50" s="12"/>
      <c r="M50" s="13"/>
      <c r="N50" s="14" t="n">
        <f aca="false">IF(G50="","",G50/F50)</f>
        <v>15557</v>
      </c>
      <c r="O50" s="14" t="n">
        <f aca="false">IF(COUNT(H50:K50)=0,"",MIN(H50:K50)/F50)</f>
        <v>18798</v>
      </c>
      <c r="P50" s="14" t="str">
        <f aca="false">IF(L50="","",L50*95/F50)</f>
        <v/>
      </c>
      <c r="Q50" s="15" t="n">
        <f aca="false">IF(OR(N50="",O50=""),"",(IF(AND(N50&gt;7500,O50&gt;7500),O50/(1+IF(O50&lt;=1000,0,IF(O50&lt;=7500,0.05,0.18)))-IF(AND(N50&gt;7500,O50&gt;7500),N50/1.18,N50),(O50-IF(AND(N50&gt;7500,O50&gt;7500),N50/1.18,N50))/(1+IF(O50&lt;=1000,0,IF(O50&lt;=7500,0.05,0.18)))))/(IF(AND(N50&gt;7500,O50&gt;7500),N50/1.18,N50)))</f>
        <v>0.208330655010606</v>
      </c>
      <c r="R50" s="15" t="n">
        <f aca="false">IF(OR(N50="",O50=""),"",((O50-N50)/1.18)/N50)</f>
        <v>0.176551402551361</v>
      </c>
      <c r="S50" s="15" t="str">
        <f aca="false">IF(OR(P50="",O50=""),"",(P50-O50)/O50)</f>
        <v/>
      </c>
      <c r="T50" s="9" t="str">
        <f aca="false">IF(AND(D50="",G50&lt;&gt;""),"no dates - assumed 1 night",IF(Q50="","",IF(Q50&gt;1.5,"check: markup &gt;150%",IF(Q50&lt;0,"below cost",""))))</f>
        <v/>
      </c>
    </row>
    <row r="51" customFormat="false" ht="15" hidden="false" customHeight="false" outlineLevel="0" collapsed="false">
      <c r="A51" s="9" t="s">
        <v>10</v>
      </c>
      <c r="B51" s="9" t="s">
        <v>111</v>
      </c>
      <c r="C51" s="9" t="s">
        <v>41</v>
      </c>
      <c r="D51" s="10" t="s">
        <v>95</v>
      </c>
      <c r="E51" s="10" t="s">
        <v>96</v>
      </c>
      <c r="F51" s="9" t="n">
        <f aca="false">IF(OR(D51="",E51=""),1,MAX(1,DATEVALUE(E51)-DATEVALUE(D51)))</f>
        <v>2</v>
      </c>
      <c r="G51" s="11" t="n">
        <v>76134</v>
      </c>
      <c r="H51" s="11" t="n">
        <v>73762</v>
      </c>
      <c r="I51" s="11"/>
      <c r="J51" s="11"/>
      <c r="K51" s="11"/>
      <c r="L51" s="12"/>
      <c r="M51" s="13"/>
      <c r="N51" s="14" t="n">
        <f aca="false">IF(G51="","",G51/F51)</f>
        <v>38067</v>
      </c>
      <c r="O51" s="14" t="n">
        <f aca="false">IF(COUNT(H51:K51)=0,"",MIN(H51:K51)/F51)</f>
        <v>36881</v>
      </c>
      <c r="P51" s="14" t="str">
        <f aca="false">IF(L51="","",L51*95/F51)</f>
        <v/>
      </c>
      <c r="Q51" s="15" t="n">
        <f aca="false">IF(OR(N51="",O51=""),"",(IF(AND(N51&gt;7500,O51&gt;7500),O51/(1+IF(O51&lt;=1000,0,IF(O51&lt;=7500,0.05,0.18)))-IF(AND(N51&gt;7500,O51&gt;7500),N51/1.18,N51),(O51-IF(AND(N51&gt;7500,O51&gt;7500),N51/1.18,N51))/(1+IF(O51&lt;=1000,0,IF(O51&lt;=7500,0.05,0.18)))))/(IF(AND(N51&gt;7500,O51&gt;7500),N51/1.18,N51)))</f>
        <v>-0.0311555940841149</v>
      </c>
      <c r="R51" s="15" t="n">
        <f aca="false">IF(OR(N51="",O51=""),"",((O51-N51)/1.18)/N51)</f>
        <v>-0.0264030458339956</v>
      </c>
      <c r="S51" s="15" t="str">
        <f aca="false">IF(OR(P51="",O51=""),"",(P51-O51)/O51)</f>
        <v/>
      </c>
      <c r="T51" s="9" t="str">
        <f aca="false">IF(AND(D51="",G51&lt;&gt;""),"no dates - assumed 1 night",IF(Q51="","",IF(Q51&gt;1.5,"check: markup &gt;150%",IF(Q51&lt;0,"below cost",""))))</f>
        <v>below cost</v>
      </c>
    </row>
    <row r="52" customFormat="false" ht="15" hidden="false" customHeight="false" outlineLevel="0" collapsed="false">
      <c r="A52" s="9" t="s">
        <v>10</v>
      </c>
      <c r="B52" s="9" t="s">
        <v>111</v>
      </c>
      <c r="C52" s="9" t="s">
        <v>44</v>
      </c>
      <c r="D52" s="10" t="s">
        <v>99</v>
      </c>
      <c r="E52" s="10" t="s">
        <v>89</v>
      </c>
      <c r="F52" s="9" t="n">
        <f aca="false">IF(OR(D52="",E52=""),1,MAX(1,DATEVALUE(E52)-DATEVALUE(D52)))</f>
        <v>3</v>
      </c>
      <c r="G52" s="11" t="n">
        <v>76329</v>
      </c>
      <c r="H52" s="11" t="n">
        <v>73827</v>
      </c>
      <c r="I52" s="11"/>
      <c r="J52" s="11"/>
      <c r="K52" s="11"/>
      <c r="L52" s="12"/>
      <c r="M52" s="13"/>
      <c r="N52" s="14" t="n">
        <f aca="false">IF(G52="","",G52/F52)</f>
        <v>25443</v>
      </c>
      <c r="O52" s="14" t="n">
        <f aca="false">IF(COUNT(H52:K52)=0,"",MIN(H52:K52)/F52)</f>
        <v>24609</v>
      </c>
      <c r="P52" s="14" t="str">
        <f aca="false">IF(L52="","",L52*95/F52)</f>
        <v/>
      </c>
      <c r="Q52" s="15" t="n">
        <f aca="false">IF(OR(N52="",O52=""),"",(IF(AND(N52&gt;7500,O52&gt;7500),O52/(1+IF(O52&lt;=1000,0,IF(O52&lt;=7500,0.05,0.18)))-IF(AND(N52&gt;7500,O52&gt;7500),N52/1.18,N52),(O52-IF(AND(N52&gt;7500,O52&gt;7500),N52/1.18,N52))/(1+IF(O52&lt;=1000,0,IF(O52&lt;=7500,0.05,0.18)))))/(IF(AND(N52&gt;7500,O52&gt;7500),N52/1.18,N52)))</f>
        <v>-0.0327791534017215</v>
      </c>
      <c r="R52" s="15" t="n">
        <f aca="false">IF(OR(N52="",O52=""),"",((O52-N52)/1.18)/N52)</f>
        <v>-0.0277789435607809</v>
      </c>
      <c r="S52" s="15" t="str">
        <f aca="false">IF(OR(P52="",O52=""),"",(P52-O52)/O52)</f>
        <v/>
      </c>
      <c r="T52" s="9" t="str">
        <f aca="false">IF(AND(D52="",G52&lt;&gt;""),"no dates - assumed 1 night",IF(Q52="","",IF(Q52&gt;1.5,"check: markup &gt;150%",IF(Q52&lt;0,"below cost",""))))</f>
        <v>below cost</v>
      </c>
    </row>
    <row r="53" customFormat="false" ht="15" hidden="false" customHeight="false" outlineLevel="0" collapsed="false">
      <c r="A53" s="9" t="s">
        <v>10</v>
      </c>
      <c r="B53" s="9" t="s">
        <v>111</v>
      </c>
      <c r="C53" s="9" t="s">
        <v>47</v>
      </c>
      <c r="D53" s="10" t="s">
        <v>102</v>
      </c>
      <c r="E53" s="10" t="s">
        <v>91</v>
      </c>
      <c r="F53" s="9" t="n">
        <f aca="false">IF(OR(D53="",E53=""),1,MAX(1,DATEVALUE(E53)-DATEVALUE(D53)))</f>
        <v>2</v>
      </c>
      <c r="G53" s="11" t="n">
        <v>73048</v>
      </c>
      <c r="H53" s="11" t="n">
        <v>70399</v>
      </c>
      <c r="I53" s="11"/>
      <c r="J53" s="11"/>
      <c r="K53" s="11"/>
      <c r="L53" s="12"/>
      <c r="M53" s="13"/>
      <c r="N53" s="14" t="n">
        <f aca="false">IF(G53="","",G53/F53)</f>
        <v>36524</v>
      </c>
      <c r="O53" s="14" t="n">
        <f aca="false">IF(COUNT(H53:K53)=0,"",MIN(H53:K53)/F53)</f>
        <v>35199.5</v>
      </c>
      <c r="P53" s="14" t="str">
        <f aca="false">IF(L53="","",L53*95/F53)</f>
        <v/>
      </c>
      <c r="Q53" s="15" t="n">
        <f aca="false">IF(OR(N53="",O53=""),"",(IF(AND(N53&gt;7500,O53&gt;7500),O53/(1+IF(O53&lt;=1000,0,IF(O53&lt;=7500,0.05,0.18)))-IF(AND(N53&gt;7500,O53&gt;7500),N53/1.18,N53),(O53-IF(AND(N53&gt;7500,O53&gt;7500),N53/1.18,N53))/(1+IF(O53&lt;=1000,0,IF(O53&lt;=7500,0.05,0.18)))))/(IF(AND(N53&gt;7500,O53&gt;7500),N53/1.18,N53)))</f>
        <v>-0.0362638265250247</v>
      </c>
      <c r="R53" s="15" t="n">
        <f aca="false">IF(OR(N53="",O53=""),"",((O53-N53)/1.18)/N53)</f>
        <v>-0.0307320563771395</v>
      </c>
      <c r="S53" s="15" t="str">
        <f aca="false">IF(OR(P53="",O53=""),"",(P53-O53)/O53)</f>
        <v/>
      </c>
      <c r="T53" s="9" t="str">
        <f aca="false">IF(AND(D53="",G53&lt;&gt;""),"no dates - assumed 1 night",IF(Q53="","",IF(Q53&gt;1.5,"check: markup &gt;150%",IF(Q53&lt;0,"below cost",""))))</f>
        <v>below cost</v>
      </c>
    </row>
    <row r="54" customFormat="false" ht="15" hidden="false" customHeight="false" outlineLevel="0" collapsed="false">
      <c r="A54" s="9" t="s">
        <v>10</v>
      </c>
      <c r="B54" s="9" t="s">
        <v>111</v>
      </c>
      <c r="C54" s="9" t="s">
        <v>50</v>
      </c>
      <c r="D54" s="10" t="s">
        <v>100</v>
      </c>
      <c r="E54" s="10" t="s">
        <v>93</v>
      </c>
      <c r="F54" s="9" t="n">
        <f aca="false">IF(OR(D54="",E54=""),1,MAX(1,DATEVALUE(E54)-DATEVALUE(D54)))</f>
        <v>2</v>
      </c>
      <c r="G54" s="11" t="n">
        <v>50626</v>
      </c>
      <c r="H54" s="11" t="n">
        <v>47867</v>
      </c>
      <c r="I54" s="11"/>
      <c r="J54" s="11"/>
      <c r="K54" s="11"/>
      <c r="L54" s="12"/>
      <c r="M54" s="13"/>
      <c r="N54" s="14" t="n">
        <f aca="false">IF(G54="","",G54/F54)</f>
        <v>25313</v>
      </c>
      <c r="O54" s="14" t="n">
        <f aca="false">IF(COUNT(H54:K54)=0,"",MIN(H54:K54)/F54)</f>
        <v>23933.5</v>
      </c>
      <c r="P54" s="14" t="str">
        <f aca="false">IF(L54="","",L54*95/F54)</f>
        <v/>
      </c>
      <c r="Q54" s="15" t="n">
        <f aca="false">IF(OR(N54="",O54=""),"",(IF(AND(N54&gt;7500,O54&gt;7500),O54/(1+IF(O54&lt;=1000,0,IF(O54&lt;=7500,0.05,0.18)))-IF(AND(N54&gt;7500,O54&gt;7500),N54/1.18,N54),(O54-IF(AND(N54&gt;7500,O54&gt;7500),N54/1.18,N54))/(1+IF(O54&lt;=1000,0,IF(O54&lt;=7500,0.05,0.18)))))/(IF(AND(N54&gt;7500,O54&gt;7500),N54/1.18,N54)))</f>
        <v>-0.0544976889345397</v>
      </c>
      <c r="R54" s="15" t="n">
        <f aca="false">IF(OR(N54="",O54=""),"",((O54-N54)/1.18)/N54)</f>
        <v>-0.0461844821479149</v>
      </c>
      <c r="S54" s="15" t="str">
        <f aca="false">IF(OR(P54="",O54=""),"",(P54-O54)/O54)</f>
        <v/>
      </c>
      <c r="T54" s="9" t="str">
        <f aca="false">IF(AND(D54="",G54&lt;&gt;""),"no dates - assumed 1 night",IF(Q54="","",IF(Q54&gt;1.5,"check: markup &gt;150%",IF(Q54&lt;0,"below cost",""))))</f>
        <v>below cost</v>
      </c>
    </row>
    <row r="55" customFormat="false" ht="15" hidden="false" customHeight="false" outlineLevel="0" collapsed="false">
      <c r="A55" s="9" t="s">
        <v>10</v>
      </c>
      <c r="B55" s="9" t="s">
        <v>111</v>
      </c>
      <c r="C55" s="9" t="s">
        <v>54</v>
      </c>
      <c r="D55" s="10" t="s">
        <v>103</v>
      </c>
      <c r="E55" s="10" t="s">
        <v>104</v>
      </c>
      <c r="F55" s="9" t="n">
        <f aca="false">IF(OR(D55="",E55=""),1,MAX(1,DATEVALUE(E55)-DATEVALUE(D55)))</f>
        <v>3</v>
      </c>
      <c r="G55" s="11" t="n">
        <v>75319</v>
      </c>
      <c r="H55" s="11" t="n">
        <v>68388</v>
      </c>
      <c r="I55" s="11"/>
      <c r="J55" s="11"/>
      <c r="K55" s="11"/>
      <c r="L55" s="12"/>
      <c r="M55" s="13"/>
      <c r="N55" s="14" t="n">
        <f aca="false">IF(G55="","",G55/F55)</f>
        <v>25106.3333333333</v>
      </c>
      <c r="O55" s="14" t="n">
        <f aca="false">IF(COUNT(H55:K55)=0,"",MIN(H55:K55)/F55)</f>
        <v>22796</v>
      </c>
      <c r="P55" s="14" t="str">
        <f aca="false">IF(L55="","",L55*95/F55)</f>
        <v/>
      </c>
      <c r="Q55" s="15" t="n">
        <f aca="false">IF(OR(N55="",O55=""),"",(IF(AND(N55&gt;7500,O55&gt;7500),O55/(1+IF(O55&lt;=1000,0,IF(O55&lt;=7500,0.05,0.18)))-IF(AND(N55&gt;7500,O55&gt;7500),N55/1.18,N55),(O55-IF(AND(N55&gt;7500,O55&gt;7500),N55/1.18,N55))/(1+IF(O55&lt;=1000,0,IF(O55&lt;=7500,0.05,0.18)))))/(IF(AND(N55&gt;7500,O55&gt;7500),N55/1.18,N55)))</f>
        <v>-0.0920219333767044</v>
      </c>
      <c r="R55" s="15" t="n">
        <f aca="false">IF(OR(N55="",O55=""),"",((O55-N55)/1.18)/N55)</f>
        <v>-0.0779846893022918</v>
      </c>
      <c r="S55" s="15" t="str">
        <f aca="false">IF(OR(P55="",O55=""),"",(P55-O55)/O55)</f>
        <v/>
      </c>
      <c r="T55" s="9" t="str">
        <f aca="false">IF(AND(D55="",G55&lt;&gt;""),"no dates - assumed 1 night",IF(Q55="","",IF(Q55&gt;1.5,"check: markup &gt;150%",IF(Q55&lt;0,"below cost",""))))</f>
        <v>below cost</v>
      </c>
    </row>
    <row r="56" customFormat="false" ht="15" hidden="false" customHeight="false" outlineLevel="0" collapsed="false">
      <c r="A56" s="9" t="s">
        <v>10</v>
      </c>
      <c r="B56" s="9" t="s">
        <v>112</v>
      </c>
      <c r="C56" s="9" t="s">
        <v>41</v>
      </c>
      <c r="D56" s="10" t="s">
        <v>95</v>
      </c>
      <c r="E56" s="10" t="s">
        <v>96</v>
      </c>
      <c r="F56" s="9" t="n">
        <f aca="false">IF(OR(D56="",E56=""),1,MAX(1,DATEVALUE(E56)-DATEVALUE(D56)))</f>
        <v>2</v>
      </c>
      <c r="G56" s="11" t="n">
        <v>20051</v>
      </c>
      <c r="H56" s="11" t="n">
        <v>20409</v>
      </c>
      <c r="I56" s="11"/>
      <c r="J56" s="11"/>
      <c r="K56" s="11"/>
      <c r="L56" s="12"/>
      <c r="M56" s="13"/>
      <c r="N56" s="14" t="n">
        <f aca="false">IF(G56="","",G56/F56)</f>
        <v>10025.5</v>
      </c>
      <c r="O56" s="14" t="n">
        <f aca="false">IF(COUNT(H56:K56)=0,"",MIN(H56:K56)/F56)</f>
        <v>10204.5</v>
      </c>
      <c r="P56" s="14" t="str">
        <f aca="false">IF(L56="","",L56*95/F56)</f>
        <v/>
      </c>
      <c r="Q56" s="15" t="n">
        <f aca="false">IF(OR(N56="",O56=""),"",(IF(AND(N56&gt;7500,O56&gt;7500),O56/(1+IF(O56&lt;=1000,0,IF(O56&lt;=7500,0.05,0.18)))-IF(AND(N56&gt;7500,O56&gt;7500),N56/1.18,N56),(O56-IF(AND(N56&gt;7500,O56&gt;7500),N56/1.18,N56))/(1+IF(O56&lt;=1000,0,IF(O56&lt;=7500,0.05,0.18)))))/(IF(AND(N56&gt;7500,O56&gt;7500),N56/1.18,N56)))</f>
        <v>0.0178544710986984</v>
      </c>
      <c r="R56" s="15" t="n">
        <f aca="false">IF(OR(N56="",O56=""),"",((O56-N56)/1.18)/N56)</f>
        <v>0.0151309077107613</v>
      </c>
      <c r="S56" s="15" t="str">
        <f aca="false">IF(OR(P56="",O56=""),"",(P56-O56)/O56)</f>
        <v/>
      </c>
      <c r="T56" s="9" t="str">
        <f aca="false">IF(AND(D56="",G56&lt;&gt;""),"no dates - assumed 1 night",IF(Q56="","",IF(Q56&gt;1.5,"check: markup &gt;150%",IF(Q56&lt;0,"below cost",""))))</f>
        <v/>
      </c>
    </row>
    <row r="57" customFormat="false" ht="15" hidden="false" customHeight="false" outlineLevel="0" collapsed="false">
      <c r="A57" s="9" t="s">
        <v>10</v>
      </c>
      <c r="B57" s="9" t="s">
        <v>112</v>
      </c>
      <c r="C57" s="9" t="s">
        <v>44</v>
      </c>
      <c r="D57" s="10" t="s">
        <v>99</v>
      </c>
      <c r="E57" s="10" t="s">
        <v>89</v>
      </c>
      <c r="F57" s="9" t="n">
        <f aca="false">IF(OR(D57="",E57=""),1,MAX(1,DATEVALUE(E57)-DATEVALUE(D57)))</f>
        <v>3</v>
      </c>
      <c r="G57" s="11" t="n">
        <v>19976</v>
      </c>
      <c r="H57" s="11" t="n">
        <v>20464</v>
      </c>
      <c r="I57" s="11"/>
      <c r="J57" s="11"/>
      <c r="K57" s="11"/>
      <c r="L57" s="12"/>
      <c r="M57" s="13"/>
      <c r="N57" s="14" t="n">
        <f aca="false">IF(G57="","",G57/F57)</f>
        <v>6658.66666666667</v>
      </c>
      <c r="O57" s="14" t="n">
        <f aca="false">IF(COUNT(H57:K57)=0,"",MIN(H57:K57)/F57)</f>
        <v>6821.33333333333</v>
      </c>
      <c r="P57" s="14" t="str">
        <f aca="false">IF(L57="","",L57*95/F57)</f>
        <v/>
      </c>
      <c r="Q57" s="15" t="n">
        <f aca="false">IF(OR(N57="",O57=""),"",(IF(AND(N57&gt;7500,O57&gt;7500),O57/(1+IF(O57&lt;=1000,0,IF(O57&lt;=7500,0.05,0.18)))-IF(AND(N57&gt;7500,O57&gt;7500),N57/1.18,N57),(O57-IF(AND(N57&gt;7500,O57&gt;7500),N57/1.18,N57))/(1+IF(O57&lt;=1000,0,IF(O57&lt;=7500,0.05,0.18)))))/(IF(AND(N57&gt;7500,O57&gt;7500),N57/1.18,N57)))</f>
        <v>0.0232660144554417</v>
      </c>
      <c r="R57" s="15" t="n">
        <f aca="false">IF(OR(N57="",O57=""),"",((O57-N57)/1.18)/N57)</f>
        <v>0.0207028094730625</v>
      </c>
      <c r="S57" s="15" t="str">
        <f aca="false">IF(OR(P57="",O57=""),"",(P57-O57)/O57)</f>
        <v/>
      </c>
      <c r="T57" s="9" t="str">
        <f aca="false">IF(AND(D57="",G57&lt;&gt;""),"no dates - assumed 1 night",IF(Q57="","",IF(Q57&gt;1.5,"check: markup &gt;150%",IF(Q57&lt;0,"below cost",""))))</f>
        <v/>
      </c>
    </row>
    <row r="58" customFormat="false" ht="15" hidden="false" customHeight="false" outlineLevel="0" collapsed="false">
      <c r="A58" s="9" t="s">
        <v>10</v>
      </c>
      <c r="B58" s="9" t="s">
        <v>112</v>
      </c>
      <c r="C58" s="9" t="s">
        <v>47</v>
      </c>
      <c r="D58" s="10" t="s">
        <v>102</v>
      </c>
      <c r="E58" s="10" t="s">
        <v>91</v>
      </c>
      <c r="F58" s="9" t="n">
        <f aca="false">IF(OR(D58="",E58=""),1,MAX(1,DATEVALUE(E58)-DATEVALUE(D58)))</f>
        <v>2</v>
      </c>
      <c r="G58" s="11" t="n">
        <v>14137</v>
      </c>
      <c r="H58" s="11" t="n">
        <v>14174</v>
      </c>
      <c r="I58" s="11"/>
      <c r="J58" s="11"/>
      <c r="K58" s="11"/>
      <c r="L58" s="12"/>
      <c r="M58" s="13"/>
      <c r="N58" s="14" t="n">
        <f aca="false">IF(G58="","",G58/F58)</f>
        <v>7068.5</v>
      </c>
      <c r="O58" s="14" t="n">
        <f aca="false">IF(COUNT(H58:K58)=0,"",MIN(H58:K58)/F58)</f>
        <v>7087</v>
      </c>
      <c r="P58" s="14" t="str">
        <f aca="false">IF(L58="","",L58*95/F58)</f>
        <v/>
      </c>
      <c r="Q58" s="15" t="n">
        <f aca="false">IF(OR(N58="",O58=""),"",(IF(AND(N58&gt;7500,O58&gt;7500),O58/(1+IF(O58&lt;=1000,0,IF(O58&lt;=7500,0.05,0.18)))-IF(AND(N58&gt;7500,O58&gt;7500),N58/1.18,N58),(O58-IF(AND(N58&gt;7500,O58&gt;7500),N58/1.18,N58))/(1+IF(O58&lt;=1000,0,IF(O58&lt;=7500,0.05,0.18)))))/(IF(AND(N58&gt;7500,O58&gt;7500),N58/1.18,N58)))</f>
        <v>0.00249261478659512</v>
      </c>
      <c r="R58" s="15" t="n">
        <f aca="false">IF(OR(N58="",O58=""),"",((O58-N58)/1.18)/N58)</f>
        <v>0.00221800468298718</v>
      </c>
      <c r="S58" s="15" t="str">
        <f aca="false">IF(OR(P58="",O58=""),"",(P58-O58)/O58)</f>
        <v/>
      </c>
      <c r="T58" s="9" t="str">
        <f aca="false">IF(AND(D58="",G58&lt;&gt;""),"no dates - assumed 1 night",IF(Q58="","",IF(Q58&gt;1.5,"check: markup &gt;150%",IF(Q58&lt;0,"below cost",""))))</f>
        <v/>
      </c>
    </row>
    <row r="59" customFormat="false" ht="15" hidden="false" customHeight="false" outlineLevel="0" collapsed="false">
      <c r="A59" s="9" t="s">
        <v>10</v>
      </c>
      <c r="B59" s="9" t="s">
        <v>112</v>
      </c>
      <c r="C59" s="9" t="s">
        <v>50</v>
      </c>
      <c r="D59" s="10" t="s">
        <v>100</v>
      </c>
      <c r="E59" s="10" t="s">
        <v>93</v>
      </c>
      <c r="F59" s="9" t="n">
        <f aca="false">IF(OR(D59="",E59=""),1,MAX(1,DATEVALUE(E59)-DATEVALUE(D59)))</f>
        <v>2</v>
      </c>
      <c r="G59" s="11" t="n">
        <v>15784</v>
      </c>
      <c r="H59" s="11" t="n">
        <v>17919</v>
      </c>
      <c r="I59" s="11"/>
      <c r="J59" s="11"/>
      <c r="K59" s="11"/>
      <c r="L59" s="12"/>
      <c r="M59" s="13"/>
      <c r="N59" s="14" t="n">
        <f aca="false">IF(G59="","",G59/F59)</f>
        <v>7892</v>
      </c>
      <c r="O59" s="14" t="n">
        <f aca="false">IF(COUNT(H59:K59)=0,"",MIN(H59:K59)/F59)</f>
        <v>8959.5</v>
      </c>
      <c r="P59" s="14" t="str">
        <f aca="false">IF(L59="","",L59*95/F59)</f>
        <v/>
      </c>
      <c r="Q59" s="15" t="n">
        <f aca="false">IF(OR(N59="",O59=""),"",(IF(AND(N59&gt;7500,O59&gt;7500),O59/(1+IF(O59&lt;=1000,0,IF(O59&lt;=7500,0.05,0.18)))-IF(AND(N59&gt;7500,O59&gt;7500),N59/1.18,N59),(O59-IF(AND(N59&gt;7500,O59&gt;7500),N59/1.18,N59))/(1+IF(O59&lt;=1000,0,IF(O59&lt;=7500,0.05,0.18)))))/(IF(AND(N59&gt;7500,O59&gt;7500),N59/1.18,N59)))</f>
        <v>0.135263558033452</v>
      </c>
      <c r="R59" s="15" t="n">
        <f aca="false">IF(OR(N59="",O59=""),"",((O59-N59)/1.18)/N59)</f>
        <v>0.114630133926654</v>
      </c>
      <c r="S59" s="15" t="str">
        <f aca="false">IF(OR(P59="",O59=""),"",(P59-O59)/O59)</f>
        <v/>
      </c>
      <c r="T59" s="9" t="str">
        <f aca="false">IF(AND(D59="",G59&lt;&gt;""),"no dates - assumed 1 night",IF(Q59="","",IF(Q59&gt;1.5,"check: markup &gt;150%",IF(Q59&lt;0,"below cost",""))))</f>
        <v/>
      </c>
    </row>
    <row r="60" customFormat="false" ht="15" hidden="false" customHeight="false" outlineLevel="0" collapsed="false">
      <c r="A60" s="9" t="s">
        <v>10</v>
      </c>
      <c r="B60" s="9" t="s">
        <v>112</v>
      </c>
      <c r="C60" s="9" t="s">
        <v>54</v>
      </c>
      <c r="D60" s="10" t="s">
        <v>103</v>
      </c>
      <c r="E60" s="10" t="s">
        <v>104</v>
      </c>
      <c r="F60" s="9" t="n">
        <f aca="false">IF(OR(D60="",E60=""),1,MAX(1,DATEVALUE(E60)-DATEVALUE(D60)))</f>
        <v>3</v>
      </c>
      <c r="G60" s="11" t="n">
        <v>22852</v>
      </c>
      <c r="H60" s="11" t="n">
        <v>25007</v>
      </c>
      <c r="I60" s="11"/>
      <c r="J60" s="11"/>
      <c r="K60" s="11"/>
      <c r="L60" s="12"/>
      <c r="M60" s="13"/>
      <c r="N60" s="14" t="n">
        <f aca="false">IF(G60="","",G60/F60)</f>
        <v>7617.33333333333</v>
      </c>
      <c r="O60" s="14" t="n">
        <f aca="false">IF(COUNT(H60:K60)=0,"",MIN(H60:K60)/F60)</f>
        <v>8335.66666666667</v>
      </c>
      <c r="P60" s="14" t="str">
        <f aca="false">IF(L60="","",L60*95/F60)</f>
        <v/>
      </c>
      <c r="Q60" s="15" t="n">
        <f aca="false">IF(OR(N60="",O60=""),"",(IF(AND(N60&gt;7500,O60&gt;7500),O60/(1+IF(O60&lt;=1000,0,IF(O60&lt;=7500,0.05,0.18)))-IF(AND(N60&gt;7500,O60&gt;7500),N60/1.18,N60),(O60-IF(AND(N60&gt;7500,O60&gt;7500),N60/1.18,N60))/(1+IF(O60&lt;=1000,0,IF(O60&lt;=7500,0.05,0.18)))))/(IF(AND(N60&gt;7500,O60&gt;7500),N60/1.18,N60)))</f>
        <v>0.0943024680553124</v>
      </c>
      <c r="R60" s="15" t="n">
        <f aca="false">IF(OR(N60="",O60=""),"",((O60-N60)/1.18)/N60)</f>
        <v>0.0799173458095868</v>
      </c>
      <c r="S60" s="15" t="str">
        <f aca="false">IF(OR(P60="",O60=""),"",(P60-O60)/O60)</f>
        <v/>
      </c>
      <c r="T60" s="9" t="str">
        <f aca="false">IF(AND(D60="",G60&lt;&gt;""),"no dates - assumed 1 night",IF(Q60="","",IF(Q60&gt;1.5,"check: markup &gt;150%",IF(Q60&lt;0,"below cost",""))))</f>
        <v/>
      </c>
    </row>
    <row r="61" customFormat="false" ht="15" hidden="false" customHeight="false" outlineLevel="0" collapsed="false">
      <c r="A61" s="9" t="s">
        <v>10</v>
      </c>
      <c r="B61" s="9" t="s">
        <v>113</v>
      </c>
      <c r="C61" s="9" t="s">
        <v>44</v>
      </c>
      <c r="D61" s="10" t="s">
        <v>45</v>
      </c>
      <c r="E61" s="10" t="s">
        <v>89</v>
      </c>
      <c r="F61" s="9" t="n">
        <f aca="false">IF(OR(D61="",E61=""),1,MAX(1,DATEVALUE(E61)-DATEVALUE(D61)))</f>
        <v>2</v>
      </c>
      <c r="G61" s="11" t="n">
        <v>34801</v>
      </c>
      <c r="H61" s="11" t="n">
        <v>37374</v>
      </c>
      <c r="I61" s="11"/>
      <c r="J61" s="11"/>
      <c r="K61" s="11"/>
      <c r="L61" s="12"/>
      <c r="M61" s="13"/>
      <c r="N61" s="14" t="n">
        <f aca="false">IF(G61="","",G61/F61)</f>
        <v>17400.5</v>
      </c>
      <c r="O61" s="14" t="n">
        <f aca="false">IF(COUNT(H61:K61)=0,"",MIN(H61:K61)/F61)</f>
        <v>18687</v>
      </c>
      <c r="P61" s="14" t="str">
        <f aca="false">IF(L61="","",L61*95/F61)</f>
        <v/>
      </c>
      <c r="Q61" s="15" t="n">
        <f aca="false">IF(OR(N61="",O61=""),"",(IF(AND(N61&gt;7500,O61&gt;7500),O61/(1+IF(O61&lt;=1000,0,IF(O61&lt;=7500,0.05,0.18)))-IF(AND(N61&gt;7500,O61&gt;7500),N61/1.18,N61),(O61-IF(AND(N61&gt;7500,O61&gt;7500),N61/1.18,N61))/(1+IF(O61&lt;=1000,0,IF(O61&lt;=7500,0.05,0.18)))))/(IF(AND(N61&gt;7500,O61&gt;7500),N61/1.18,N61)))</f>
        <v>0.0739346570500847</v>
      </c>
      <c r="R61" s="15" t="n">
        <f aca="false">IF(OR(N61="",O61=""),"",((O61-N61)/1.18)/N61)</f>
        <v>0.0626564890254956</v>
      </c>
      <c r="S61" s="15" t="str">
        <f aca="false">IF(OR(P61="",O61=""),"",(P61-O61)/O61)</f>
        <v/>
      </c>
      <c r="T61" s="9" t="str">
        <f aca="false">IF(AND(D61="",G61&lt;&gt;""),"no dates - assumed 1 night",IF(Q61="","",IF(Q61&gt;1.5,"check: markup &gt;150%",IF(Q61&lt;0,"below cost",""))))</f>
        <v/>
      </c>
    </row>
    <row r="62" customFormat="false" ht="15" hidden="false" customHeight="false" outlineLevel="0" collapsed="false">
      <c r="A62" s="9" t="s">
        <v>10</v>
      </c>
      <c r="B62" s="9" t="s">
        <v>113</v>
      </c>
      <c r="C62" s="9" t="s">
        <v>47</v>
      </c>
      <c r="D62" s="10" t="s">
        <v>90</v>
      </c>
      <c r="E62" s="10" t="s">
        <v>91</v>
      </c>
      <c r="F62" s="9" t="n">
        <f aca="false">IF(OR(D62="",E62=""),1,MAX(1,DATEVALUE(E62)-DATEVALUE(D62)))</f>
        <v>1</v>
      </c>
      <c r="G62" s="11" t="n">
        <v>16403</v>
      </c>
      <c r="H62" s="11" t="n">
        <v>17441</v>
      </c>
      <c r="I62" s="11"/>
      <c r="J62" s="11"/>
      <c r="K62" s="11"/>
      <c r="L62" s="12"/>
      <c r="M62" s="13"/>
      <c r="N62" s="14" t="n">
        <f aca="false">IF(G62="","",G62/F62)</f>
        <v>16403</v>
      </c>
      <c r="O62" s="14" t="n">
        <f aca="false">IF(COUNT(H62:K62)=0,"",MIN(H62:K62)/F62)</f>
        <v>17441</v>
      </c>
      <c r="P62" s="14" t="str">
        <f aca="false">IF(L62="","",L62*95/F62)</f>
        <v/>
      </c>
      <c r="Q62" s="15" t="n">
        <f aca="false">IF(OR(N62="",O62=""),"",(IF(AND(N62&gt;7500,O62&gt;7500),O62/(1+IF(O62&lt;=1000,0,IF(O62&lt;=7500,0.05,0.18)))-IF(AND(N62&gt;7500,O62&gt;7500),N62/1.18,N62),(O62-IF(AND(N62&gt;7500,O62&gt;7500),N62/1.18,N62))/(1+IF(O62&lt;=1000,0,IF(O62&lt;=7500,0.05,0.18)))))/(IF(AND(N62&gt;7500,O62&gt;7500),N62/1.18,N62)))</f>
        <v>0.0632811071145522</v>
      </c>
      <c r="R62" s="15" t="n">
        <f aca="false">IF(OR(N62="",O62=""),"",((O62-N62)/1.18)/N62)</f>
        <v>0.0536280568767392</v>
      </c>
      <c r="S62" s="15" t="str">
        <f aca="false">IF(OR(P62="",O62=""),"",(P62-O62)/O62)</f>
        <v/>
      </c>
      <c r="T62" s="9" t="str">
        <f aca="false">IF(AND(D62="",G62&lt;&gt;""),"no dates - assumed 1 night",IF(Q62="","",IF(Q62&gt;1.5,"check: markup &gt;150%",IF(Q62&lt;0,"below cost",""))))</f>
        <v/>
      </c>
    </row>
    <row r="63" customFormat="false" ht="15" hidden="false" customHeight="false" outlineLevel="0" collapsed="false">
      <c r="A63" s="9" t="s">
        <v>10</v>
      </c>
      <c r="B63" s="9" t="s">
        <v>113</v>
      </c>
      <c r="C63" s="9" t="s">
        <v>50</v>
      </c>
      <c r="D63" s="10" t="s">
        <v>92</v>
      </c>
      <c r="E63" s="10" t="s">
        <v>93</v>
      </c>
      <c r="F63" s="9" t="n">
        <f aca="false">IF(OR(D63="",E63=""),1,MAX(1,DATEVALUE(E63)-DATEVALUE(D63)))</f>
        <v>1</v>
      </c>
      <c r="G63" s="11" t="n">
        <v>16403</v>
      </c>
      <c r="H63" s="11" t="n">
        <v>17441</v>
      </c>
      <c r="I63" s="11"/>
      <c r="J63" s="11"/>
      <c r="K63" s="11"/>
      <c r="L63" s="12"/>
      <c r="M63" s="13"/>
      <c r="N63" s="14" t="n">
        <f aca="false">IF(G63="","",G63/F63)</f>
        <v>16403</v>
      </c>
      <c r="O63" s="14" t="n">
        <f aca="false">IF(COUNT(H63:K63)=0,"",MIN(H63:K63)/F63)</f>
        <v>17441</v>
      </c>
      <c r="P63" s="14" t="str">
        <f aca="false">IF(L63="","",L63*95/F63)</f>
        <v/>
      </c>
      <c r="Q63" s="15" t="n">
        <f aca="false">IF(OR(N63="",O63=""),"",(IF(AND(N63&gt;7500,O63&gt;7500),O63/(1+IF(O63&lt;=1000,0,IF(O63&lt;=7500,0.05,0.18)))-IF(AND(N63&gt;7500,O63&gt;7500),N63/1.18,N63),(O63-IF(AND(N63&gt;7500,O63&gt;7500),N63/1.18,N63))/(1+IF(O63&lt;=1000,0,IF(O63&lt;=7500,0.05,0.18)))))/(IF(AND(N63&gt;7500,O63&gt;7500),N63/1.18,N63)))</f>
        <v>0.0632811071145522</v>
      </c>
      <c r="R63" s="15" t="n">
        <f aca="false">IF(OR(N63="",O63=""),"",((O63-N63)/1.18)/N63)</f>
        <v>0.0536280568767392</v>
      </c>
      <c r="S63" s="15" t="str">
        <f aca="false">IF(OR(P63="",O63=""),"",(P63-O63)/O63)</f>
        <v/>
      </c>
      <c r="T63" s="9" t="str">
        <f aca="false">IF(AND(D63="",G63&lt;&gt;""),"no dates - assumed 1 night",IF(Q63="","",IF(Q63&gt;1.5,"check: markup &gt;150%",IF(Q63&lt;0,"below cost",""))))</f>
        <v/>
      </c>
    </row>
    <row r="64" customFormat="false" ht="15" hidden="false" customHeight="false" outlineLevel="0" collapsed="false">
      <c r="A64" s="9" t="s">
        <v>10</v>
      </c>
      <c r="B64" s="9" t="s">
        <v>114</v>
      </c>
      <c r="C64" s="9" t="s">
        <v>41</v>
      </c>
      <c r="D64" s="10" t="s">
        <v>95</v>
      </c>
      <c r="E64" s="10" t="s">
        <v>96</v>
      </c>
      <c r="F64" s="9" t="n">
        <f aca="false">IF(OR(D64="",E64=""),1,MAX(1,DATEVALUE(E64)-DATEVALUE(D64)))</f>
        <v>2</v>
      </c>
      <c r="G64" s="11" t="n">
        <v>24196</v>
      </c>
      <c r="H64" s="11" t="n">
        <v>24923</v>
      </c>
      <c r="I64" s="11"/>
      <c r="J64" s="11"/>
      <c r="K64" s="11"/>
      <c r="L64" s="12"/>
      <c r="M64" s="13"/>
      <c r="N64" s="14" t="n">
        <f aca="false">IF(G64="","",G64/F64)</f>
        <v>12098</v>
      </c>
      <c r="O64" s="14" t="n">
        <f aca="false">IF(COUNT(H64:K64)=0,"",MIN(H64:K64)/F64)</f>
        <v>12461.5</v>
      </c>
      <c r="P64" s="14" t="str">
        <f aca="false">IF(L64="","",L64*95/F64)</f>
        <v/>
      </c>
      <c r="Q64" s="15" t="n">
        <f aca="false">IF(OR(N64="",O64=""),"",(IF(AND(N64&gt;7500,O64&gt;7500),O64/(1+IF(O64&lt;=1000,0,IF(O64&lt;=7500,0.05,0.18)))-IF(AND(N64&gt;7500,O64&gt;7500),N64/1.18,N64),(O64-IF(AND(N64&gt;7500,O64&gt;7500),N64/1.18,N64))/(1+IF(O64&lt;=1000,0,IF(O64&lt;=7500,0.05,0.18)))))/(IF(AND(N64&gt;7500,O64&gt;7500),N64/1.18,N64)))</f>
        <v>0.0300462886427509</v>
      </c>
      <c r="R64" s="15" t="n">
        <f aca="false">IF(OR(N64="",O64=""),"",((O64-N64)/1.18)/N64)</f>
        <v>0.0254629564769075</v>
      </c>
      <c r="S64" s="15" t="str">
        <f aca="false">IF(OR(P64="",O64=""),"",(P64-O64)/O64)</f>
        <v/>
      </c>
      <c r="T64" s="9" t="str">
        <f aca="false">IF(AND(D64="",G64&lt;&gt;""),"no dates - assumed 1 night",IF(Q64="","",IF(Q64&gt;1.5,"check: markup &gt;150%",IF(Q64&lt;0,"below cost",""))))</f>
        <v/>
      </c>
    </row>
    <row r="65" customFormat="false" ht="15" hidden="false" customHeight="false" outlineLevel="0" collapsed="false">
      <c r="A65" s="9" t="s">
        <v>10</v>
      </c>
      <c r="B65" s="9" t="s">
        <v>114</v>
      </c>
      <c r="C65" s="9" t="s">
        <v>44</v>
      </c>
      <c r="D65" s="10" t="s">
        <v>99</v>
      </c>
      <c r="E65" s="10" t="s">
        <v>89</v>
      </c>
      <c r="F65" s="9" t="n">
        <f aca="false">IF(OR(D65="",E65=""),1,MAX(1,DATEVALUE(E65)-DATEVALUE(D65)))</f>
        <v>3</v>
      </c>
      <c r="G65" s="11" t="n">
        <v>34768</v>
      </c>
      <c r="H65" s="11" t="n">
        <v>35141</v>
      </c>
      <c r="I65" s="11"/>
      <c r="J65" s="11"/>
      <c r="K65" s="11"/>
      <c r="L65" s="12"/>
      <c r="M65" s="13"/>
      <c r="N65" s="14" t="n">
        <f aca="false">IF(G65="","",G65/F65)</f>
        <v>11589.3333333333</v>
      </c>
      <c r="O65" s="14" t="n">
        <f aca="false">IF(COUNT(H65:K65)=0,"",MIN(H65:K65)/F65)</f>
        <v>11713.6666666667</v>
      </c>
      <c r="P65" s="14" t="str">
        <f aca="false">IF(L65="","",L65*95/F65)</f>
        <v/>
      </c>
      <c r="Q65" s="15" t="n">
        <f aca="false">IF(OR(N65="",O65=""),"",(IF(AND(N65&gt;7500,O65&gt;7500),O65/(1+IF(O65&lt;=1000,0,IF(O65&lt;=7500,0.05,0.18)))-IF(AND(N65&gt;7500,O65&gt;7500),N65/1.18,N65),(O65-IF(AND(N65&gt;7500,O65&gt;7500),N65/1.18,N65))/(1+IF(O65&lt;=1000,0,IF(O65&lt;=7500,0.05,0.18)))))/(IF(AND(N65&gt;7500,O65&gt;7500),N65/1.18,N65)))</f>
        <v>0.0107282558674643</v>
      </c>
      <c r="R65" s="15" t="n">
        <f aca="false">IF(OR(N65="",O65=""),"",((O65-N65)/1.18)/N65)</f>
        <v>0.00909174226056291</v>
      </c>
      <c r="S65" s="15" t="str">
        <f aca="false">IF(OR(P65="",O65=""),"",(P65-O65)/O65)</f>
        <v/>
      </c>
      <c r="T65" s="9" t="str">
        <f aca="false">IF(AND(D65="",G65&lt;&gt;""),"no dates - assumed 1 night",IF(Q65="","",IF(Q65&gt;1.5,"check: markup &gt;150%",IF(Q65&lt;0,"below cost",""))))</f>
        <v/>
      </c>
    </row>
    <row r="66" customFormat="false" ht="15" hidden="false" customHeight="false" outlineLevel="0" collapsed="false">
      <c r="A66" s="9" t="s">
        <v>10</v>
      </c>
      <c r="B66" s="9" t="s">
        <v>114</v>
      </c>
      <c r="C66" s="9" t="s">
        <v>47</v>
      </c>
      <c r="D66" s="10" t="s">
        <v>102</v>
      </c>
      <c r="E66" s="10" t="s">
        <v>91</v>
      </c>
      <c r="F66" s="9" t="n">
        <f aca="false">IF(OR(D66="",E66=""),1,MAX(1,DATEVALUE(E66)-DATEVALUE(D66)))</f>
        <v>2</v>
      </c>
      <c r="G66" s="11" t="n">
        <v>23760</v>
      </c>
      <c r="H66" s="11" t="n">
        <v>24272</v>
      </c>
      <c r="I66" s="11"/>
      <c r="J66" s="11"/>
      <c r="K66" s="11"/>
      <c r="L66" s="12"/>
      <c r="M66" s="13"/>
      <c r="N66" s="14" t="n">
        <f aca="false">IF(G66="","",G66/F66)</f>
        <v>11880</v>
      </c>
      <c r="O66" s="14" t="n">
        <f aca="false">IF(COUNT(H66:K66)=0,"",MIN(H66:K66)/F66)</f>
        <v>12136</v>
      </c>
      <c r="P66" s="14" t="str">
        <f aca="false">IF(L66="","",L66*95/F66)</f>
        <v/>
      </c>
      <c r="Q66" s="15" t="n">
        <f aca="false">IF(OR(N66="",O66=""),"",(IF(AND(N66&gt;7500,O66&gt;7500),O66/(1+IF(O66&lt;=1000,0,IF(O66&lt;=7500,0.05,0.18)))-IF(AND(N66&gt;7500,O66&gt;7500),N66/1.18,N66),(O66-IF(AND(N66&gt;7500,O66&gt;7500),N66/1.18,N66))/(1+IF(O66&lt;=1000,0,IF(O66&lt;=7500,0.05,0.18)))))/(IF(AND(N66&gt;7500,O66&gt;7500),N66/1.18,N66)))</f>
        <v>0.0215488215488215</v>
      </c>
      <c r="R66" s="15" t="n">
        <f aca="false">IF(OR(N66="",O66=""),"",((O66-N66)/1.18)/N66)</f>
        <v>0.0182617131769674</v>
      </c>
      <c r="S66" s="15" t="str">
        <f aca="false">IF(OR(P66="",O66=""),"",(P66-O66)/O66)</f>
        <v/>
      </c>
      <c r="T66" s="9" t="str">
        <f aca="false">IF(AND(D66="",G66&lt;&gt;""),"no dates - assumed 1 night",IF(Q66="","",IF(Q66&gt;1.5,"check: markup &gt;150%",IF(Q66&lt;0,"below cost",""))))</f>
        <v/>
      </c>
    </row>
    <row r="67" customFormat="false" ht="15" hidden="false" customHeight="false" outlineLevel="0" collapsed="false">
      <c r="A67" s="9" t="s">
        <v>10</v>
      </c>
      <c r="B67" s="9" t="s">
        <v>114</v>
      </c>
      <c r="C67" s="9" t="s">
        <v>50</v>
      </c>
      <c r="D67" s="10" t="s">
        <v>100</v>
      </c>
      <c r="E67" s="10" t="s">
        <v>93</v>
      </c>
      <c r="F67" s="9" t="n">
        <f aca="false">IF(OR(D67="",E67=""),1,MAX(1,DATEVALUE(E67)-DATEVALUE(D67)))</f>
        <v>2</v>
      </c>
      <c r="G67" s="11" t="n">
        <v>23760</v>
      </c>
      <c r="H67" s="11" t="n">
        <v>24272</v>
      </c>
      <c r="I67" s="11"/>
      <c r="J67" s="11"/>
      <c r="K67" s="11"/>
      <c r="L67" s="12"/>
      <c r="M67" s="13"/>
      <c r="N67" s="14" t="n">
        <f aca="false">IF(G67="","",G67/F67)</f>
        <v>11880</v>
      </c>
      <c r="O67" s="14" t="n">
        <f aca="false">IF(COUNT(H67:K67)=0,"",MIN(H67:K67)/F67)</f>
        <v>12136</v>
      </c>
      <c r="P67" s="14" t="str">
        <f aca="false">IF(L67="","",L67*95/F67)</f>
        <v/>
      </c>
      <c r="Q67" s="15" t="n">
        <f aca="false">IF(OR(N67="",O67=""),"",(IF(AND(N67&gt;7500,O67&gt;7500),O67/(1+IF(O67&lt;=1000,0,IF(O67&lt;=7500,0.05,0.18)))-IF(AND(N67&gt;7500,O67&gt;7500),N67/1.18,N67),(O67-IF(AND(N67&gt;7500,O67&gt;7500),N67/1.18,N67))/(1+IF(O67&lt;=1000,0,IF(O67&lt;=7500,0.05,0.18)))))/(IF(AND(N67&gt;7500,O67&gt;7500),N67/1.18,N67)))</f>
        <v>0.0215488215488215</v>
      </c>
      <c r="R67" s="15" t="n">
        <f aca="false">IF(OR(N67="",O67=""),"",((O67-N67)/1.18)/N67)</f>
        <v>0.0182617131769674</v>
      </c>
      <c r="S67" s="15" t="str">
        <f aca="false">IF(OR(P67="",O67=""),"",(P67-O67)/O67)</f>
        <v/>
      </c>
      <c r="T67" s="9" t="str">
        <f aca="false">IF(AND(D67="",G67&lt;&gt;""),"no dates - assumed 1 night",IF(Q67="","",IF(Q67&gt;1.5,"check: markup &gt;150%",IF(Q67&lt;0,"below cost",""))))</f>
        <v/>
      </c>
    </row>
    <row r="68" customFormat="false" ht="15" hidden="false" customHeight="false" outlineLevel="0" collapsed="false">
      <c r="A68" s="9" t="s">
        <v>10</v>
      </c>
      <c r="B68" s="9" t="s">
        <v>114</v>
      </c>
      <c r="C68" s="9" t="s">
        <v>54</v>
      </c>
      <c r="D68" s="10" t="s">
        <v>103</v>
      </c>
      <c r="E68" s="10" t="s">
        <v>104</v>
      </c>
      <c r="F68" s="9" t="n">
        <f aca="false">IF(OR(D68="",E68=""),1,MAX(1,DATEVALUE(E68)-DATEVALUE(D68)))</f>
        <v>3</v>
      </c>
      <c r="G68" s="11" t="n">
        <v>34114</v>
      </c>
      <c r="H68" s="11" t="n">
        <v>34434</v>
      </c>
      <c r="I68" s="11"/>
      <c r="J68" s="11"/>
      <c r="K68" s="11"/>
      <c r="L68" s="12"/>
      <c r="M68" s="13"/>
      <c r="N68" s="14" t="n">
        <f aca="false">IF(G68="","",G68/F68)</f>
        <v>11371.3333333333</v>
      </c>
      <c r="O68" s="14" t="n">
        <f aca="false">IF(COUNT(H68:K68)=0,"",MIN(H68:K68)/F68)</f>
        <v>11478</v>
      </c>
      <c r="P68" s="14" t="str">
        <f aca="false">IF(L68="","",L68*95/F68)</f>
        <v/>
      </c>
      <c r="Q68" s="15" t="n">
        <f aca="false">IF(OR(N68="",O68=""),"",(IF(AND(N68&gt;7500,O68&gt;7500),O68/(1+IF(O68&lt;=1000,0,IF(O68&lt;=7500,0.05,0.18)))-IF(AND(N68&gt;7500,O68&gt;7500),N68/1.18,N68),(O68-IF(AND(N68&gt;7500,O68&gt;7500),N68/1.18,N68))/(1+IF(O68&lt;=1000,0,IF(O68&lt;=7500,0.05,0.18)))))/(IF(AND(N68&gt;7500,O68&gt;7500),N68/1.18,N68)))</f>
        <v>0.00938031306794864</v>
      </c>
      <c r="R68" s="15" t="n">
        <f aca="false">IF(OR(N68="",O68=""),"",((O68-N68)/1.18)/N68)</f>
        <v>0.00794941785419372</v>
      </c>
      <c r="S68" s="15" t="str">
        <f aca="false">IF(OR(P68="",O68=""),"",(P68-O68)/O68)</f>
        <v/>
      </c>
      <c r="T68" s="9" t="str">
        <f aca="false">IF(AND(D68="",G68&lt;&gt;""),"no dates - assumed 1 night",IF(Q68="","",IF(Q68&gt;1.5,"check: markup &gt;150%",IF(Q68&lt;0,"below cost",""))))</f>
        <v/>
      </c>
    </row>
    <row r="69" customFormat="false" ht="15" hidden="false" customHeight="false" outlineLevel="0" collapsed="false">
      <c r="A69" s="9" t="s">
        <v>10</v>
      </c>
      <c r="B69" s="9" t="s">
        <v>115</v>
      </c>
      <c r="C69" s="9" t="s">
        <v>41</v>
      </c>
      <c r="D69" s="10" t="s">
        <v>95</v>
      </c>
      <c r="E69" s="10" t="s">
        <v>96</v>
      </c>
      <c r="F69" s="9" t="n">
        <f aca="false">IF(OR(D69="",E69=""),1,MAX(1,DATEVALUE(E69)-DATEVALUE(D69)))</f>
        <v>2</v>
      </c>
      <c r="G69" s="11" t="n">
        <v>18588</v>
      </c>
      <c r="H69" s="11" t="n">
        <v>20428</v>
      </c>
      <c r="I69" s="11"/>
      <c r="J69" s="11"/>
      <c r="K69" s="11"/>
      <c r="L69" s="12"/>
      <c r="M69" s="13"/>
      <c r="N69" s="14" t="n">
        <f aca="false">IF(G69="","",G69/F69)</f>
        <v>9294</v>
      </c>
      <c r="O69" s="14" t="n">
        <f aca="false">IF(COUNT(H69:K69)=0,"",MIN(H69:K69)/F69)</f>
        <v>10214</v>
      </c>
      <c r="P69" s="14" t="str">
        <f aca="false">IF(L69="","",L69*95/F69)</f>
        <v/>
      </c>
      <c r="Q69" s="15" t="n">
        <f aca="false">IF(OR(N69="",O69=""),"",(IF(AND(N69&gt;7500,O69&gt;7500),O69/(1+IF(O69&lt;=1000,0,IF(O69&lt;=7500,0.05,0.18)))-IF(AND(N69&gt;7500,O69&gt;7500),N69/1.18,N69),(O69-IF(AND(N69&gt;7500,O69&gt;7500),N69/1.18,N69))/(1+IF(O69&lt;=1000,0,IF(O69&lt;=7500,0.05,0.18)))))/(IF(AND(N69&gt;7500,O69&gt;7500),N69/1.18,N69)))</f>
        <v>0.0989885947923392</v>
      </c>
      <c r="R69" s="15" t="n">
        <f aca="false">IF(OR(N69="",O69=""),"",((O69-N69)/1.18)/N69)</f>
        <v>0.0838886396545247</v>
      </c>
      <c r="S69" s="15" t="str">
        <f aca="false">IF(OR(P69="",O69=""),"",(P69-O69)/O69)</f>
        <v/>
      </c>
      <c r="T69" s="9" t="str">
        <f aca="false">IF(AND(D69="",G69&lt;&gt;""),"no dates - assumed 1 night",IF(Q69="","",IF(Q69&gt;1.5,"check: markup &gt;150%",IF(Q69&lt;0,"below cost",""))))</f>
        <v/>
      </c>
    </row>
    <row r="70" customFormat="false" ht="15" hidden="false" customHeight="false" outlineLevel="0" collapsed="false">
      <c r="A70" s="9" t="s">
        <v>10</v>
      </c>
      <c r="B70" s="9" t="s">
        <v>116</v>
      </c>
      <c r="C70" s="9" t="s">
        <v>44</v>
      </c>
      <c r="D70" s="10" t="s">
        <v>99</v>
      </c>
      <c r="E70" s="10" t="s">
        <v>89</v>
      </c>
      <c r="F70" s="9" t="n">
        <f aca="false">IF(OR(D70="",E70=""),1,MAX(1,DATEVALUE(E70)-DATEVALUE(D70)))</f>
        <v>3</v>
      </c>
      <c r="G70" s="11" t="n">
        <v>31511</v>
      </c>
      <c r="H70" s="11" t="n">
        <v>33984</v>
      </c>
      <c r="I70" s="11"/>
      <c r="J70" s="11"/>
      <c r="K70" s="11"/>
      <c r="L70" s="12"/>
      <c r="M70" s="13"/>
      <c r="N70" s="14" t="n">
        <f aca="false">IF(G70="","",G70/F70)</f>
        <v>10503.6666666667</v>
      </c>
      <c r="O70" s="14" t="n">
        <f aca="false">IF(COUNT(H70:K70)=0,"",MIN(H70:K70)/F70)</f>
        <v>11328</v>
      </c>
      <c r="P70" s="14" t="str">
        <f aca="false">IF(L70="","",L70*95/F70)</f>
        <v/>
      </c>
      <c r="Q70" s="15" t="n">
        <f aca="false">IF(OR(N70="",O70=""),"",(IF(AND(N70&gt;7500,O70&gt;7500),O70/(1+IF(O70&lt;=1000,0,IF(O70&lt;=7500,0.05,0.18)))-IF(AND(N70&gt;7500,O70&gt;7500),N70/1.18,N70),(O70-IF(AND(N70&gt;7500,O70&gt;7500),N70/1.18,N70))/(1+IF(O70&lt;=1000,0,IF(O70&lt;=7500,0.05,0.18)))))/(IF(AND(N70&gt;7500,O70&gt;7500),N70/1.18,N70)))</f>
        <v>0.0784805306083589</v>
      </c>
      <c r="R70" s="15" t="n">
        <f aca="false">IF(OR(N70="",O70=""),"",((O70-N70)/1.18)/N70)</f>
        <v>0.0665089242443721</v>
      </c>
      <c r="S70" s="15" t="str">
        <f aca="false">IF(OR(P70="",O70=""),"",(P70-O70)/O70)</f>
        <v/>
      </c>
      <c r="T70" s="9" t="str">
        <f aca="false">IF(AND(D70="",G70&lt;&gt;""),"no dates - assumed 1 night",IF(Q70="","",IF(Q70&gt;1.5,"check: markup &gt;150%",IF(Q70&lt;0,"below cost",""))))</f>
        <v/>
      </c>
    </row>
    <row r="71" customFormat="false" ht="15" hidden="false" customHeight="false" outlineLevel="0" collapsed="false">
      <c r="A71" s="9" t="s">
        <v>10</v>
      </c>
      <c r="B71" s="9" t="s">
        <v>116</v>
      </c>
      <c r="C71" s="9" t="s">
        <v>47</v>
      </c>
      <c r="D71" s="10" t="s">
        <v>102</v>
      </c>
      <c r="E71" s="10" t="s">
        <v>91</v>
      </c>
      <c r="F71" s="9" t="n">
        <f aca="false">IF(OR(D71="",E71=""),1,MAX(1,DATEVALUE(E71)-DATEVALUE(D71)))</f>
        <v>2</v>
      </c>
      <c r="G71" s="11" t="n">
        <v>23633</v>
      </c>
      <c r="H71" s="11" t="n">
        <v>25488</v>
      </c>
      <c r="I71" s="11"/>
      <c r="J71" s="11"/>
      <c r="K71" s="11"/>
      <c r="L71" s="12"/>
      <c r="M71" s="13"/>
      <c r="N71" s="14" t="n">
        <f aca="false">IF(G71="","",G71/F71)</f>
        <v>11816.5</v>
      </c>
      <c r="O71" s="14" t="n">
        <f aca="false">IF(COUNT(H71:K71)=0,"",MIN(H71:K71)/F71)</f>
        <v>12744</v>
      </c>
      <c r="P71" s="14" t="str">
        <f aca="false">IF(L71="","",L71*95/F71)</f>
        <v/>
      </c>
      <c r="Q71" s="15" t="n">
        <f aca="false">IF(OR(N71="",O71=""),"",(IF(AND(N71&gt;7500,O71&gt;7500),O71/(1+IF(O71&lt;=1000,0,IF(O71&lt;=7500,0.05,0.18)))-IF(AND(N71&gt;7500,O71&gt;7500),N71/1.18,N71),(O71-IF(AND(N71&gt;7500,O71&gt;7500),N71/1.18,N71))/(1+IF(O71&lt;=1000,0,IF(O71&lt;=7500,0.05,0.18)))))/(IF(AND(N71&gt;7500,O71&gt;7500),N71/1.18,N71)))</f>
        <v>0.0784919392375068</v>
      </c>
      <c r="R71" s="15" t="n">
        <f aca="false">IF(OR(N71="",O71=""),"",((O71-N71)/1.18)/N71)</f>
        <v>0.0665185925741584</v>
      </c>
      <c r="S71" s="15" t="str">
        <f aca="false">IF(OR(P71="",O71=""),"",(P71-O71)/O71)</f>
        <v/>
      </c>
      <c r="T71" s="9" t="str">
        <f aca="false">IF(AND(D71="",G71&lt;&gt;""),"no dates - assumed 1 night",IF(Q71="","",IF(Q71&gt;1.5,"check: markup &gt;150%",IF(Q71&lt;0,"below cost",""))))</f>
        <v/>
      </c>
    </row>
    <row r="72" customFormat="false" ht="15" hidden="false" customHeight="false" outlineLevel="0" collapsed="false">
      <c r="A72" s="9" t="s">
        <v>10</v>
      </c>
      <c r="B72" s="9" t="s">
        <v>116</v>
      </c>
      <c r="C72" s="9" t="s">
        <v>50</v>
      </c>
      <c r="D72" s="10" t="s">
        <v>100</v>
      </c>
      <c r="E72" s="10" t="s">
        <v>93</v>
      </c>
      <c r="F72" s="9" t="n">
        <f aca="false">IF(OR(D72="",E72=""),1,MAX(1,DATEVALUE(E72)-DATEVALUE(D72)))</f>
        <v>2</v>
      </c>
      <c r="G72" s="11" t="n">
        <v>17725</v>
      </c>
      <c r="H72" s="11" t="n">
        <v>19116</v>
      </c>
      <c r="I72" s="11"/>
      <c r="J72" s="11"/>
      <c r="K72" s="11"/>
      <c r="L72" s="12"/>
      <c r="M72" s="13"/>
      <c r="N72" s="14" t="n">
        <f aca="false">IF(G72="","",G72/F72)</f>
        <v>8862.5</v>
      </c>
      <c r="O72" s="14" t="n">
        <f aca="false">IF(COUNT(H72:K72)=0,"",MIN(H72:K72)/F72)</f>
        <v>9558</v>
      </c>
      <c r="P72" s="14" t="str">
        <f aca="false">IF(L72="","",L72*95/F72)</f>
        <v/>
      </c>
      <c r="Q72" s="15" t="n">
        <f aca="false">IF(OR(N72="",O72=""),"",(IF(AND(N72&gt;7500,O72&gt;7500),O72/(1+IF(O72&lt;=1000,0,IF(O72&lt;=7500,0.05,0.18)))-IF(AND(N72&gt;7500,O72&gt;7500),N72/1.18,N72),(O72-IF(AND(N72&gt;7500,O72&gt;7500),N72/1.18,N72))/(1+IF(O72&lt;=1000,0,IF(O72&lt;=7500,0.05,0.18)))))/(IF(AND(N72&gt;7500,O72&gt;7500),N72/1.18,N72)))</f>
        <v>0.0784767277856134</v>
      </c>
      <c r="R72" s="15" t="n">
        <f aca="false">IF(OR(N72="",O72=""),"",((O72-N72)/1.18)/N72)</f>
        <v>0.0665057015132318</v>
      </c>
      <c r="S72" s="15" t="str">
        <f aca="false">IF(OR(P72="",O72=""),"",(P72-O72)/O72)</f>
        <v/>
      </c>
      <c r="T72" s="9" t="str">
        <f aca="false">IF(AND(D72="",G72&lt;&gt;""),"no dates - assumed 1 night",IF(Q72="","",IF(Q72&gt;1.5,"check: markup &gt;150%",IF(Q72&lt;0,"below cost",""))))</f>
        <v/>
      </c>
    </row>
    <row r="73" customFormat="false" ht="15" hidden="false" customHeight="false" outlineLevel="0" collapsed="false">
      <c r="A73" s="9" t="s">
        <v>10</v>
      </c>
      <c r="B73" s="9" t="s">
        <v>116</v>
      </c>
      <c r="C73" s="9" t="s">
        <v>54</v>
      </c>
      <c r="D73" s="10" t="s">
        <v>103</v>
      </c>
      <c r="E73" s="10" t="s">
        <v>104</v>
      </c>
      <c r="F73" s="9" t="n">
        <f aca="false">IF(OR(D73="",E73=""),1,MAX(1,DATEVALUE(E73)-DATEVALUE(D73)))</f>
        <v>3</v>
      </c>
      <c r="G73" s="11" t="n">
        <v>26587</v>
      </c>
      <c r="H73" s="11" t="n">
        <v>28674</v>
      </c>
      <c r="I73" s="11"/>
      <c r="J73" s="11"/>
      <c r="K73" s="11"/>
      <c r="L73" s="12"/>
      <c r="M73" s="13"/>
      <c r="N73" s="14" t="n">
        <f aca="false">IF(G73="","",G73/F73)</f>
        <v>8862.33333333333</v>
      </c>
      <c r="O73" s="14" t="n">
        <f aca="false">IF(COUNT(H73:K73)=0,"",MIN(H73:K73)/F73)</f>
        <v>9558</v>
      </c>
      <c r="P73" s="14" t="str">
        <f aca="false">IF(L73="","",L73*95/F73)</f>
        <v/>
      </c>
      <c r="Q73" s="15" t="n">
        <f aca="false">IF(OR(N73="",O73=""),"",(IF(AND(N73&gt;7500,O73&gt;7500),O73/(1+IF(O73&lt;=1000,0,IF(O73&lt;=7500,0.05,0.18)))-IF(AND(N73&gt;7500,O73&gt;7500),N73/1.18,N73),(O73-IF(AND(N73&gt;7500,O73&gt;7500),N73/1.18,N73))/(1+IF(O73&lt;=1000,0,IF(O73&lt;=7500,0.05,0.18)))))/(IF(AND(N73&gt;7500,O73&gt;7500),N73/1.18,N73)))</f>
        <v>0.0784970098168277</v>
      </c>
      <c r="R73" s="15" t="n">
        <f aca="false">IF(OR(N73="",O73=""),"",((O73-N73)/1.18)/N73)</f>
        <v>0.0665228896752777</v>
      </c>
      <c r="S73" s="15" t="str">
        <f aca="false">IF(OR(P73="",O73=""),"",(P73-O73)/O73)</f>
        <v/>
      </c>
      <c r="T73" s="9" t="str">
        <f aca="false">IF(AND(D73="",G73&lt;&gt;""),"no dates - assumed 1 night",IF(Q73="","",IF(Q73&gt;1.5,"check: markup &gt;150%",IF(Q73&lt;0,"below cost",""))))</f>
        <v/>
      </c>
    </row>
    <row r="74" customFormat="false" ht="15" hidden="false" customHeight="false" outlineLevel="0" collapsed="false">
      <c r="A74" s="9" t="s">
        <v>10</v>
      </c>
      <c r="B74" s="9" t="s">
        <v>117</v>
      </c>
      <c r="C74" s="9" t="s">
        <v>47</v>
      </c>
      <c r="D74" s="10" t="s">
        <v>90</v>
      </c>
      <c r="E74" s="10" t="s">
        <v>91</v>
      </c>
      <c r="F74" s="9" t="n">
        <f aca="false">IF(OR(D74="",E74=""),1,MAX(1,DATEVALUE(E74)-DATEVALUE(D74)))</f>
        <v>1</v>
      </c>
      <c r="G74" s="11" t="n">
        <v>5864</v>
      </c>
      <c r="H74" s="11" t="n">
        <v>6404</v>
      </c>
      <c r="I74" s="11"/>
      <c r="J74" s="11"/>
      <c r="K74" s="11"/>
      <c r="L74" s="12" t="n">
        <v>1</v>
      </c>
      <c r="M74" s="13"/>
      <c r="N74" s="14" t="n">
        <f aca="false">IF(G74="","",G74/F74)</f>
        <v>5864</v>
      </c>
      <c r="O74" s="14" t="n">
        <f aca="false">IF(COUNT(H74:K74)=0,"",MIN(H74:K74)/F74)</f>
        <v>6404</v>
      </c>
      <c r="P74" s="14" t="n">
        <f aca="false">IF(L74="","",L74*95/F74)</f>
        <v>95</v>
      </c>
      <c r="Q74" s="15" t="n">
        <f aca="false">IF(OR(N74="",O74=""),"",(IF(AND(N74&gt;7500,O74&gt;7500),O74/(1+IF(O74&lt;=1000,0,IF(O74&lt;=7500,0.05,0.18)))-IF(AND(N74&gt;7500,O74&gt;7500),N74/1.18,N74),(O74-IF(AND(N74&gt;7500,O74&gt;7500),N74/1.18,N74))/(1+IF(O74&lt;=1000,0,IF(O74&lt;=7500,0.05,0.18)))))/(IF(AND(N74&gt;7500,O74&gt;7500),N74/1.18,N74)))</f>
        <v>0.0877022022997466</v>
      </c>
      <c r="R74" s="15" t="n">
        <f aca="false">IF(OR(N74="",O74=""),"",((O74-N74)/1.18)/N74)</f>
        <v>0.0780400952667237</v>
      </c>
      <c r="S74" s="15" t="n">
        <f aca="false">IF(OR(P74="",O74=""),"",(P74-O74)/O74)</f>
        <v>-0.985165521549032</v>
      </c>
      <c r="T74" s="9" t="str">
        <f aca="false">IF(AND(D74="",G74&lt;&gt;""),"no dates - assumed 1 night",IF(Q74="","",IF(Q74&gt;1.5,"check: markup &gt;150%",IF(Q74&lt;0,"below cost",""))))</f>
        <v/>
      </c>
    </row>
    <row r="75" customFormat="false" ht="15" hidden="false" customHeight="false" outlineLevel="0" collapsed="false">
      <c r="A75" s="9" t="s">
        <v>10</v>
      </c>
      <c r="B75" s="9" t="s">
        <v>117</v>
      </c>
      <c r="C75" s="9" t="s">
        <v>50</v>
      </c>
      <c r="D75" s="10" t="s">
        <v>92</v>
      </c>
      <c r="E75" s="10" t="s">
        <v>93</v>
      </c>
      <c r="F75" s="9" t="n">
        <f aca="false">IF(OR(D75="",E75=""),1,MAX(1,DATEVALUE(E75)-DATEVALUE(D75)))</f>
        <v>1</v>
      </c>
      <c r="G75" s="11" t="n">
        <v>9990</v>
      </c>
      <c r="H75" s="11"/>
      <c r="I75" s="11"/>
      <c r="J75" s="11"/>
      <c r="K75" s="11"/>
      <c r="L75" s="12" t="n">
        <v>2</v>
      </c>
      <c r="M75" s="13"/>
      <c r="N75" s="14" t="n">
        <f aca="false">IF(G75="","",G75/F75)</f>
        <v>9990</v>
      </c>
      <c r="O75" s="14" t="str">
        <f aca="false">IF(COUNT(H75:K75)=0,"",MIN(H75:K75)/F75)</f>
        <v/>
      </c>
      <c r="P75" s="14" t="n">
        <f aca="false">IF(L75="","",L75*95/F75)</f>
        <v>190</v>
      </c>
      <c r="Q75" s="15" t="str">
        <f aca="false">IF(OR(N75="",O75=""),"",(IF(AND(N75&gt;7500,O75&gt;7500),O75/(1+IF(O75&lt;=1000,0,IF(O75&lt;=7500,0.05,0.18)))-IF(AND(N75&gt;7500,O75&gt;7500),N75/1.18,N75),(O75-IF(AND(N75&gt;7500,O75&gt;7500),N75/1.18,N75))/(1+IF(O75&lt;=1000,0,IF(O75&lt;=7500,0.05,0.18)))))/(IF(AND(N75&gt;7500,O75&gt;7500),N75/1.18,N75)))</f>
        <v/>
      </c>
      <c r="R75" s="15" t="str">
        <f aca="false">IF(OR(N75="",O75=""),"",((O75-N75)/1.18)/N75)</f>
        <v/>
      </c>
      <c r="S75" s="15" t="str">
        <f aca="false">IF(OR(P75="",O75=""),"",(P75-O75)/O75)</f>
        <v/>
      </c>
      <c r="T75" s="9" t="str">
        <f aca="false">IF(AND(D75="",G75&lt;&gt;""),"no dates - assumed 1 night",IF(Q75="","",IF(Q75&gt;1.5,"check: markup &gt;150%",IF(Q75&lt;0,"below cost",""))))</f>
        <v/>
      </c>
    </row>
    <row r="76" customFormat="false" ht="15" hidden="false" customHeight="false" outlineLevel="0" collapsed="false">
      <c r="A76" s="9" t="s">
        <v>10</v>
      </c>
      <c r="B76" s="9" t="s">
        <v>118</v>
      </c>
      <c r="C76" s="9" t="s">
        <v>41</v>
      </c>
      <c r="D76" s="10" t="s">
        <v>88</v>
      </c>
      <c r="E76" s="10" t="s">
        <v>43</v>
      </c>
      <c r="F76" s="9" t="n">
        <f aca="false">IF(OR(D76="",E76=""),1,MAX(1,DATEVALUE(E76)-DATEVALUE(D76)))</f>
        <v>2</v>
      </c>
      <c r="G76" s="11" t="n">
        <v>24894</v>
      </c>
      <c r="H76" s="11" t="n">
        <v>34686</v>
      </c>
      <c r="I76" s="11"/>
      <c r="J76" s="11"/>
      <c r="K76" s="11"/>
      <c r="L76" s="12"/>
      <c r="M76" s="13"/>
      <c r="N76" s="14" t="n">
        <f aca="false">IF(G76="","",G76/F76)</f>
        <v>12447</v>
      </c>
      <c r="O76" s="14" t="n">
        <f aca="false">IF(COUNT(H76:K76)=0,"",MIN(H76:K76)/F76)</f>
        <v>17343</v>
      </c>
      <c r="P76" s="14" t="str">
        <f aca="false">IF(L76="","",L76*95/F76)</f>
        <v/>
      </c>
      <c r="Q76" s="15" t="n">
        <f aca="false">IF(OR(N76="",O76=""),"",(IF(AND(N76&gt;7500,O76&gt;7500),O76/(1+IF(O76&lt;=1000,0,IF(O76&lt;=7500,0.05,0.18)))-IF(AND(N76&gt;7500,O76&gt;7500),N76/1.18,N76),(O76-IF(AND(N76&gt;7500,O76&gt;7500),N76/1.18,N76))/(1+IF(O76&lt;=1000,0,IF(O76&lt;=7500,0.05,0.18)))))/(IF(AND(N76&gt;7500,O76&gt;7500),N76/1.18,N76)))</f>
        <v>0.393347794649313</v>
      </c>
      <c r="R76" s="15" t="n">
        <f aca="false">IF(OR(N76="",O76=""),"",((O76-N76)/1.18)/N76)</f>
        <v>0.333345588685859</v>
      </c>
      <c r="S76" s="15" t="str">
        <f aca="false">IF(OR(P76="",O76=""),"",(P76-O76)/O76)</f>
        <v/>
      </c>
      <c r="T76" s="9" t="str">
        <f aca="false">IF(AND(D76="",G76&lt;&gt;""),"no dates - assumed 1 night",IF(Q76="","",IF(Q76&gt;1.5,"check: markup &gt;150%",IF(Q76&lt;0,"below cost",""))))</f>
        <v/>
      </c>
    </row>
    <row r="77" customFormat="false" ht="15" hidden="false" customHeight="false" outlineLevel="0" collapsed="false">
      <c r="A77" s="9" t="s">
        <v>10</v>
      </c>
      <c r="B77" s="9" t="s">
        <v>118</v>
      </c>
      <c r="C77" s="9" t="s">
        <v>44</v>
      </c>
      <c r="D77" s="10" t="s">
        <v>45</v>
      </c>
      <c r="E77" s="10" t="s">
        <v>89</v>
      </c>
      <c r="F77" s="9" t="n">
        <f aca="false">IF(OR(D77="",E77=""),1,MAX(1,DATEVALUE(E77)-DATEVALUE(D77)))</f>
        <v>2</v>
      </c>
      <c r="G77" s="11" t="n">
        <v>19980</v>
      </c>
      <c r="H77" s="11" t="n">
        <v>25000</v>
      </c>
      <c r="I77" s="11"/>
      <c r="J77" s="11"/>
      <c r="K77" s="11"/>
      <c r="L77" s="12"/>
      <c r="M77" s="13"/>
      <c r="N77" s="14" t="n">
        <f aca="false">IF(G77="","",G77/F77)</f>
        <v>9990</v>
      </c>
      <c r="O77" s="14" t="n">
        <f aca="false">IF(COUNT(H77:K77)=0,"",MIN(H77:K77)/F77)</f>
        <v>12500</v>
      </c>
      <c r="P77" s="14" t="str">
        <f aca="false">IF(L77="","",L77*95/F77)</f>
        <v/>
      </c>
      <c r="Q77" s="15" t="n">
        <f aca="false">IF(OR(N77="",O77=""),"",(IF(AND(N77&gt;7500,O77&gt;7500),O77/(1+IF(O77&lt;=1000,0,IF(O77&lt;=7500,0.05,0.18)))-IF(AND(N77&gt;7500,O77&gt;7500),N77/1.18,N77),(O77-IF(AND(N77&gt;7500,O77&gt;7500),N77/1.18,N77))/(1+IF(O77&lt;=1000,0,IF(O77&lt;=7500,0.05,0.18)))))/(IF(AND(N77&gt;7500,O77&gt;7500),N77/1.18,N77)))</f>
        <v>0.251251251251251</v>
      </c>
      <c r="R77" s="15" t="n">
        <f aca="false">IF(OR(N77="",O77=""),"",((O77-N77)/1.18)/N77)</f>
        <v>0.212924789195976</v>
      </c>
      <c r="S77" s="15" t="str">
        <f aca="false">IF(OR(P77="",O77=""),"",(P77-O77)/O77)</f>
        <v/>
      </c>
      <c r="T77" s="9" t="str">
        <f aca="false">IF(AND(D77="",G77&lt;&gt;""),"no dates - assumed 1 night",IF(Q77="","",IF(Q77&gt;1.5,"check: markup &gt;150%",IF(Q77&lt;0,"below cost",""))))</f>
        <v/>
      </c>
    </row>
    <row r="78" customFormat="false" ht="15" hidden="false" customHeight="false" outlineLevel="0" collapsed="false">
      <c r="A78" s="9" t="s">
        <v>10</v>
      </c>
      <c r="B78" s="9" t="s">
        <v>118</v>
      </c>
      <c r="C78" s="9" t="s">
        <v>47</v>
      </c>
      <c r="D78" s="10" t="s">
        <v>90</v>
      </c>
      <c r="E78" s="10" t="s">
        <v>91</v>
      </c>
      <c r="F78" s="9" t="n">
        <f aca="false">IF(OR(D78="",E78=""),1,MAX(1,DATEVALUE(E78)-DATEVALUE(D78)))</f>
        <v>1</v>
      </c>
      <c r="G78" s="11" t="n">
        <v>12753</v>
      </c>
      <c r="H78" s="11" t="n">
        <v>13192</v>
      </c>
      <c r="I78" s="11"/>
      <c r="J78" s="11"/>
      <c r="K78" s="11"/>
      <c r="L78" s="12"/>
      <c r="M78" s="13"/>
      <c r="N78" s="14" t="n">
        <f aca="false">IF(G78="","",G78/F78)</f>
        <v>12753</v>
      </c>
      <c r="O78" s="14" t="n">
        <f aca="false">IF(COUNT(H78:K78)=0,"",MIN(H78:K78)/F78)</f>
        <v>13192</v>
      </c>
      <c r="P78" s="14" t="str">
        <f aca="false">IF(L78="","",L78*95/F78)</f>
        <v/>
      </c>
      <c r="Q78" s="15" t="n">
        <f aca="false">IF(OR(N78="",O78=""),"",(IF(AND(N78&gt;7500,O78&gt;7500),O78/(1+IF(O78&lt;=1000,0,IF(O78&lt;=7500,0.05,0.18)))-IF(AND(N78&gt;7500,O78&gt;7500),N78/1.18,N78),(O78-IF(AND(N78&gt;7500,O78&gt;7500),N78/1.18,N78))/(1+IF(O78&lt;=1000,0,IF(O78&lt;=7500,0.05,0.18)))))/(IF(AND(N78&gt;7500,O78&gt;7500),N78/1.18,N78)))</f>
        <v>0.034423272955383</v>
      </c>
      <c r="R78" s="15" t="n">
        <f aca="false">IF(OR(N78="",O78=""),"",((O78-N78)/1.18)/N78)</f>
        <v>0.0291722652164263</v>
      </c>
      <c r="S78" s="15" t="str">
        <f aca="false">IF(OR(P78="",O78=""),"",(P78-O78)/O78)</f>
        <v/>
      </c>
      <c r="T78" s="9" t="str">
        <f aca="false">IF(AND(D78="",G78&lt;&gt;""),"no dates - assumed 1 night",IF(Q78="","",IF(Q78&gt;1.5,"check: markup &gt;150%",IF(Q78&lt;0,"below cost",""))))</f>
        <v/>
      </c>
    </row>
    <row r="79" customFormat="false" ht="15" hidden="false" customHeight="false" outlineLevel="0" collapsed="false">
      <c r="A79" s="9" t="s">
        <v>10</v>
      </c>
      <c r="B79" s="9" t="s">
        <v>118</v>
      </c>
      <c r="C79" s="9" t="s">
        <v>50</v>
      </c>
      <c r="D79" s="10" t="s">
        <v>92</v>
      </c>
      <c r="E79" s="10" t="s">
        <v>93</v>
      </c>
      <c r="F79" s="9" t="n">
        <f aca="false">IF(OR(D79="",E79=""),1,MAX(1,DATEVALUE(E79)-DATEVALUE(D79)))</f>
        <v>1</v>
      </c>
      <c r="G79" s="11" t="n">
        <v>9525</v>
      </c>
      <c r="H79" s="11" t="n">
        <v>10886</v>
      </c>
      <c r="I79" s="11"/>
      <c r="J79" s="11"/>
      <c r="K79" s="11"/>
      <c r="L79" s="12"/>
      <c r="M79" s="13"/>
      <c r="N79" s="14" t="n">
        <f aca="false">IF(G79="","",G79/F79)</f>
        <v>9525</v>
      </c>
      <c r="O79" s="14" t="n">
        <f aca="false">IF(COUNT(H79:K79)=0,"",MIN(H79:K79)/F79)</f>
        <v>10886</v>
      </c>
      <c r="P79" s="14" t="str">
        <f aca="false">IF(L79="","",L79*95/F79)</f>
        <v/>
      </c>
      <c r="Q79" s="15" t="n">
        <f aca="false">IF(OR(N79="",O79=""),"",(IF(AND(N79&gt;7500,O79&gt;7500),O79/(1+IF(O79&lt;=1000,0,IF(O79&lt;=7500,0.05,0.18)))-IF(AND(N79&gt;7500,O79&gt;7500),N79/1.18,N79),(O79-IF(AND(N79&gt;7500,O79&gt;7500),N79/1.18,N79))/(1+IF(O79&lt;=1000,0,IF(O79&lt;=7500,0.05,0.18)))))/(IF(AND(N79&gt;7500,O79&gt;7500),N79/1.18,N79)))</f>
        <v>0.142887139107611</v>
      </c>
      <c r="R79" s="15" t="n">
        <f aca="false">IF(OR(N79="",O79=""),"",((O79-N79)/1.18)/N79)</f>
        <v>0.121090795853908</v>
      </c>
      <c r="S79" s="15" t="str">
        <f aca="false">IF(OR(P79="",O79=""),"",(P79-O79)/O79)</f>
        <v/>
      </c>
      <c r="T79" s="9" t="str">
        <f aca="false">IF(AND(D79="",G79&lt;&gt;""),"no dates - assumed 1 night",IF(Q79="","",IF(Q79&gt;1.5,"check: markup &gt;150%",IF(Q79&lt;0,"below cost",""))))</f>
        <v/>
      </c>
    </row>
    <row r="80" customFormat="false" ht="15" hidden="false" customHeight="false" outlineLevel="0" collapsed="false">
      <c r="A80" s="9" t="s">
        <v>10</v>
      </c>
      <c r="B80" s="9" t="s">
        <v>119</v>
      </c>
      <c r="C80" s="9" t="s">
        <v>41</v>
      </c>
      <c r="D80" s="10" t="s">
        <v>95</v>
      </c>
      <c r="E80" s="10" t="s">
        <v>96</v>
      </c>
      <c r="F80" s="9" t="n">
        <f aca="false">IF(OR(D80="",E80=""),1,MAX(1,DATEVALUE(E80)-DATEVALUE(D80)))</f>
        <v>2</v>
      </c>
      <c r="G80" s="11" t="n">
        <v>26583</v>
      </c>
      <c r="H80" s="11" t="n">
        <v>31044</v>
      </c>
      <c r="I80" s="11"/>
      <c r="J80" s="11"/>
      <c r="K80" s="11"/>
      <c r="L80" s="12"/>
      <c r="M80" s="13"/>
      <c r="N80" s="14" t="n">
        <f aca="false">IF(G80="","",G80/F80)</f>
        <v>13291.5</v>
      </c>
      <c r="O80" s="14" t="n">
        <f aca="false">IF(COUNT(H80:K80)=0,"",MIN(H80:K80)/F80)</f>
        <v>15522</v>
      </c>
      <c r="P80" s="14" t="str">
        <f aca="false">IF(L80="","",L80*95/F80)</f>
        <v/>
      </c>
      <c r="Q80" s="15" t="n">
        <f aca="false">IF(OR(N80="",O80=""),"",(IF(AND(N80&gt;7500,O80&gt;7500),O80/(1+IF(O80&lt;=1000,0,IF(O80&lt;=7500,0.05,0.18)))-IF(AND(N80&gt;7500,O80&gt;7500),N80/1.18,N80),(O80-IF(AND(N80&gt;7500,O80&gt;7500),N80/1.18,N80))/(1+IF(O80&lt;=1000,0,IF(O80&lt;=7500,0.05,0.18)))))/(IF(AND(N80&gt;7500,O80&gt;7500),N80/1.18,N80)))</f>
        <v>0.167814016476696</v>
      </c>
      <c r="R80" s="15" t="n">
        <f aca="false">IF(OR(N80="",O80=""),"",((O80-N80)/1.18)/N80)</f>
        <v>0.14221526820059</v>
      </c>
      <c r="S80" s="15" t="str">
        <f aca="false">IF(OR(P80="",O80=""),"",(P80-O80)/O80)</f>
        <v/>
      </c>
      <c r="T80" s="9" t="str">
        <f aca="false">IF(AND(D80="",G80&lt;&gt;""),"no dates - assumed 1 night",IF(Q80="","",IF(Q80&gt;1.5,"check: markup &gt;150%",IF(Q80&lt;0,"below cost",""))))</f>
        <v/>
      </c>
    </row>
    <row r="81" customFormat="false" ht="15" hidden="false" customHeight="false" outlineLevel="0" collapsed="false">
      <c r="A81" s="9" t="s">
        <v>10</v>
      </c>
      <c r="B81" s="9" t="s">
        <v>119</v>
      </c>
      <c r="C81" s="9" t="s">
        <v>44</v>
      </c>
      <c r="D81" s="10" t="s">
        <v>99</v>
      </c>
      <c r="E81" s="10" t="s">
        <v>89</v>
      </c>
      <c r="F81" s="9" t="n">
        <f aca="false">IF(OR(D81="",E81=""),1,MAX(1,DATEVALUE(E81)-DATEVALUE(D81)))</f>
        <v>3</v>
      </c>
      <c r="G81" s="11" t="n">
        <v>70213</v>
      </c>
      <c r="H81" s="11" t="n">
        <v>64071</v>
      </c>
      <c r="I81" s="11"/>
      <c r="J81" s="11"/>
      <c r="K81" s="11"/>
      <c r="L81" s="12"/>
      <c r="M81" s="13"/>
      <c r="N81" s="14" t="n">
        <f aca="false">IF(G81="","",G81/F81)</f>
        <v>23404.3333333333</v>
      </c>
      <c r="O81" s="14" t="n">
        <f aca="false">IF(COUNT(H81:K81)=0,"",MIN(H81:K81)/F81)</f>
        <v>21357</v>
      </c>
      <c r="P81" s="14" t="str">
        <f aca="false">IF(L81="","",L81*95/F81)</f>
        <v/>
      </c>
      <c r="Q81" s="15" t="n">
        <f aca="false">IF(OR(N81="",O81=""),"",(IF(AND(N81&gt;7500,O81&gt;7500),O81/(1+IF(O81&lt;=1000,0,IF(O81&lt;=7500,0.05,0.18)))-IF(AND(N81&gt;7500,O81&gt;7500),N81/1.18,N81),(O81-IF(AND(N81&gt;7500,O81&gt;7500),N81/1.18,N81))/(1+IF(O81&lt;=1000,0,IF(O81&lt;=7500,0.05,0.18)))))/(IF(AND(N81&gt;7500,O81&gt;7500),N81/1.18,N81)))</f>
        <v>-0.0874766781080426</v>
      </c>
      <c r="R81" s="15" t="n">
        <f aca="false">IF(OR(N81="",O81=""),"",((O81-N81)/1.18)/N81)</f>
        <v>-0.0741327780576633</v>
      </c>
      <c r="S81" s="15" t="str">
        <f aca="false">IF(OR(P81="",O81=""),"",(P81-O81)/O81)</f>
        <v/>
      </c>
      <c r="T81" s="9" t="str">
        <f aca="false">IF(AND(D81="",G81&lt;&gt;""),"no dates - assumed 1 night",IF(Q81="","",IF(Q81&gt;1.5,"check: markup &gt;150%",IF(Q81&lt;0,"below cost",""))))</f>
        <v>below cost</v>
      </c>
    </row>
    <row r="82" customFormat="false" ht="15" hidden="false" customHeight="false" outlineLevel="0" collapsed="false">
      <c r="A82" s="9" t="s">
        <v>10</v>
      </c>
      <c r="B82" s="9" t="s">
        <v>119</v>
      </c>
      <c r="C82" s="9" t="s">
        <v>47</v>
      </c>
      <c r="D82" s="10" t="s">
        <v>102</v>
      </c>
      <c r="E82" s="10" t="s">
        <v>91</v>
      </c>
      <c r="F82" s="9" t="n">
        <f aca="false">IF(OR(D82="",E82=""),1,MAX(1,DATEVALUE(E82)-DATEVALUE(D82)))</f>
        <v>2</v>
      </c>
      <c r="G82" s="11" t="n">
        <v>39044</v>
      </c>
      <c r="H82" s="11" t="n">
        <v>44613</v>
      </c>
      <c r="I82" s="11"/>
      <c r="J82" s="11"/>
      <c r="K82" s="11"/>
      <c r="L82" s="12"/>
      <c r="M82" s="13"/>
      <c r="N82" s="14" t="n">
        <f aca="false">IF(G82="","",G82/F82)</f>
        <v>19522</v>
      </c>
      <c r="O82" s="14" t="n">
        <f aca="false">IF(COUNT(H82:K82)=0,"",MIN(H82:K82)/F82)</f>
        <v>22306.5</v>
      </c>
      <c r="P82" s="14" t="str">
        <f aca="false">IF(L82="","",L82*95/F82)</f>
        <v/>
      </c>
      <c r="Q82" s="15" t="n">
        <f aca="false">IF(OR(N82="",O82=""),"",(IF(AND(N82&gt;7500,O82&gt;7500),O82/(1+IF(O82&lt;=1000,0,IF(O82&lt;=7500,0.05,0.18)))-IF(AND(N82&gt;7500,O82&gt;7500),N82/1.18,N82),(O82-IF(AND(N82&gt;7500,O82&gt;7500),N82/1.18,N82))/(1+IF(O82&lt;=1000,0,IF(O82&lt;=7500,0.05,0.18)))))/(IF(AND(N82&gt;7500,O82&gt;7500),N82/1.18,N82)))</f>
        <v>0.142633951439402</v>
      </c>
      <c r="R82" s="15" t="n">
        <f aca="false">IF(OR(N82="",O82=""),"",((O82-N82)/1.18)/N82)</f>
        <v>0.120876230033391</v>
      </c>
      <c r="S82" s="15" t="str">
        <f aca="false">IF(OR(P82="",O82=""),"",(P82-O82)/O82)</f>
        <v/>
      </c>
      <c r="T82" s="9" t="str">
        <f aca="false">IF(AND(D82="",G82&lt;&gt;""),"no dates - assumed 1 night",IF(Q82="","",IF(Q82&gt;1.5,"check: markup &gt;150%",IF(Q82&lt;0,"below cost",""))))</f>
        <v/>
      </c>
    </row>
    <row r="83" customFormat="false" ht="15" hidden="false" customHeight="false" outlineLevel="0" collapsed="false">
      <c r="A83" s="9" t="s">
        <v>10</v>
      </c>
      <c r="B83" s="9" t="s">
        <v>119</v>
      </c>
      <c r="C83" s="9" t="s">
        <v>50</v>
      </c>
      <c r="D83" s="10" t="s">
        <v>100</v>
      </c>
      <c r="E83" s="10" t="s">
        <v>93</v>
      </c>
      <c r="F83" s="9" t="n">
        <f aca="false">IF(OR(D83="",E83=""),1,MAX(1,DATEVALUE(E83)-DATEVALUE(D83)))</f>
        <v>2</v>
      </c>
      <c r="G83" s="11" t="n">
        <v>31763</v>
      </c>
      <c r="H83" s="11" t="n">
        <v>28133</v>
      </c>
      <c r="I83" s="11"/>
      <c r="J83" s="11"/>
      <c r="K83" s="11"/>
      <c r="L83" s="12"/>
      <c r="M83" s="13"/>
      <c r="N83" s="14" t="n">
        <f aca="false">IF(G83="","",G83/F83)</f>
        <v>15881.5</v>
      </c>
      <c r="O83" s="14" t="n">
        <f aca="false">IF(COUNT(H83:K83)=0,"",MIN(H83:K83)/F83)</f>
        <v>14066.5</v>
      </c>
      <c r="P83" s="14" t="str">
        <f aca="false">IF(L83="","",L83*95/F83)</f>
        <v/>
      </c>
      <c r="Q83" s="15" t="n">
        <f aca="false">IF(OR(N83="",O83=""),"",(IF(AND(N83&gt;7500,O83&gt;7500),O83/(1+IF(O83&lt;=1000,0,IF(O83&lt;=7500,0.05,0.18)))-IF(AND(N83&gt;7500,O83&gt;7500),N83/1.18,N83),(O83-IF(AND(N83&gt;7500,O83&gt;7500),N83/1.18,N83))/(1+IF(O83&lt;=1000,0,IF(O83&lt;=7500,0.05,0.18)))))/(IF(AND(N83&gt;7500,O83&gt;7500),N83/1.18,N83)))</f>
        <v>-0.1142839152473</v>
      </c>
      <c r="R83" s="15" t="n">
        <f aca="false">IF(OR(N83="",O83=""),"",((O83-N83)/1.18)/N83)</f>
        <v>-0.0968507756333054</v>
      </c>
      <c r="S83" s="15" t="str">
        <f aca="false">IF(OR(P83="",O83=""),"",(P83-O83)/O83)</f>
        <v/>
      </c>
      <c r="T83" s="9" t="str">
        <f aca="false">IF(AND(D83="",G83&lt;&gt;""),"no dates - assumed 1 night",IF(Q83="","",IF(Q83&gt;1.5,"check: markup &gt;150%",IF(Q83&lt;0,"below cost",""))))</f>
        <v>below cost</v>
      </c>
    </row>
    <row r="84" customFormat="false" ht="15" hidden="false" customHeight="false" outlineLevel="0" collapsed="false">
      <c r="A84" s="9" t="s">
        <v>10</v>
      </c>
      <c r="B84" s="9" t="s">
        <v>119</v>
      </c>
      <c r="C84" s="9" t="s">
        <v>54</v>
      </c>
      <c r="D84" s="10" t="s">
        <v>103</v>
      </c>
      <c r="E84" s="10" t="s">
        <v>104</v>
      </c>
      <c r="F84" s="9" t="n">
        <f aca="false">IF(OR(D84="",E84=""),1,MAX(1,DATEVALUE(E84)-DATEVALUE(D84)))</f>
        <v>3</v>
      </c>
      <c r="G84" s="11" t="n">
        <v>34890</v>
      </c>
      <c r="H84" s="11" t="n">
        <v>39867</v>
      </c>
      <c r="I84" s="11"/>
      <c r="J84" s="11"/>
      <c r="K84" s="11"/>
      <c r="L84" s="12"/>
      <c r="M84" s="13"/>
      <c r="N84" s="14" t="n">
        <f aca="false">IF(G84="","",G84/F84)</f>
        <v>11630</v>
      </c>
      <c r="O84" s="14" t="n">
        <f aca="false">IF(COUNT(H84:K84)=0,"",MIN(H84:K84)/F84)</f>
        <v>13289</v>
      </c>
      <c r="P84" s="14" t="str">
        <f aca="false">IF(L84="","",L84*95/F84)</f>
        <v/>
      </c>
      <c r="Q84" s="15" t="n">
        <f aca="false">IF(OR(N84="",O84=""),"",(IF(AND(N84&gt;7500,O84&gt;7500),O84/(1+IF(O84&lt;=1000,0,IF(O84&lt;=7500,0.05,0.18)))-IF(AND(N84&gt;7500,O84&gt;7500),N84/1.18,N84),(O84-IF(AND(N84&gt;7500,O84&gt;7500),N84/1.18,N84))/(1+IF(O84&lt;=1000,0,IF(O84&lt;=7500,0.05,0.18)))))/(IF(AND(N84&gt;7500,O84&gt;7500),N84/1.18,N84)))</f>
        <v>0.142648323301806</v>
      </c>
      <c r="R84" s="15" t="n">
        <f aca="false">IF(OR(N84="",O84=""),"",((O84-N84)/1.18)/N84)</f>
        <v>0.120888409577801</v>
      </c>
      <c r="S84" s="15" t="str">
        <f aca="false">IF(OR(P84="",O84=""),"",(P84-O84)/O84)</f>
        <v/>
      </c>
      <c r="T84" s="9" t="str">
        <f aca="false">IF(AND(D84="",G84&lt;&gt;""),"no dates - assumed 1 night",IF(Q84="","",IF(Q84&gt;1.5,"check: markup &gt;150%",IF(Q84&lt;0,"below cost",""))))</f>
        <v/>
      </c>
    </row>
    <row r="85" customFormat="false" ht="15" hidden="false" customHeight="false" outlineLevel="0" collapsed="false">
      <c r="A85" s="9" t="s">
        <v>10</v>
      </c>
      <c r="B85" s="9" t="s">
        <v>120</v>
      </c>
      <c r="C85" s="9" t="s">
        <v>41</v>
      </c>
      <c r="D85" s="10" t="s">
        <v>88</v>
      </c>
      <c r="E85" s="10" t="s">
        <v>43</v>
      </c>
      <c r="F85" s="9" t="n">
        <f aca="false">IF(OR(D85="",E85=""),1,MAX(1,DATEVALUE(E85)-DATEVALUE(D85)))</f>
        <v>2</v>
      </c>
      <c r="G85" s="11" t="n">
        <v>27606</v>
      </c>
      <c r="H85" s="11" t="n">
        <v>28797</v>
      </c>
      <c r="I85" s="11"/>
      <c r="J85" s="11"/>
      <c r="K85" s="11"/>
      <c r="L85" s="12"/>
      <c r="M85" s="13"/>
      <c r="N85" s="14" t="n">
        <f aca="false">IF(G85="","",G85/F85)</f>
        <v>13803</v>
      </c>
      <c r="O85" s="14" t="n">
        <f aca="false">IF(COUNT(H85:K85)=0,"",MIN(H85:K85)/F85)</f>
        <v>14398.5</v>
      </c>
      <c r="P85" s="14" t="str">
        <f aca="false">IF(L85="","",L85*95/F85)</f>
        <v/>
      </c>
      <c r="Q85" s="15" t="n">
        <f aca="false">IF(OR(N85="",O85=""),"",(IF(AND(N85&gt;7500,O85&gt;7500),O85/(1+IF(O85&lt;=1000,0,IF(O85&lt;=7500,0.05,0.18)))-IF(AND(N85&gt;7500,O85&gt;7500),N85/1.18,N85),(O85-IF(AND(N85&gt;7500,O85&gt;7500),N85/1.18,N85))/(1+IF(O85&lt;=1000,0,IF(O85&lt;=7500,0.05,0.18)))))/(IF(AND(N85&gt;7500,O85&gt;7500),N85/1.18,N85)))</f>
        <v>0.0431427950445555</v>
      </c>
      <c r="R85" s="15" t="n">
        <f aca="false">IF(OR(N85="",O85=""),"",((O85-N85)/1.18)/N85)</f>
        <v>0.036561690715725</v>
      </c>
      <c r="S85" s="15" t="str">
        <f aca="false">IF(OR(P85="",O85=""),"",(P85-O85)/O85)</f>
        <v/>
      </c>
      <c r="T85" s="9" t="str">
        <f aca="false">IF(AND(D85="",G85&lt;&gt;""),"no dates - assumed 1 night",IF(Q85="","",IF(Q85&gt;1.5,"check: markup &gt;150%",IF(Q85&lt;0,"below cost",""))))</f>
        <v/>
      </c>
    </row>
    <row r="86" customFormat="false" ht="15" hidden="false" customHeight="false" outlineLevel="0" collapsed="false">
      <c r="A86" s="9" t="s">
        <v>10</v>
      </c>
      <c r="B86" s="9" t="s">
        <v>120</v>
      </c>
      <c r="C86" s="9" t="s">
        <v>44</v>
      </c>
      <c r="D86" s="10" t="s">
        <v>45</v>
      </c>
      <c r="E86" s="10" t="s">
        <v>89</v>
      </c>
      <c r="F86" s="9" t="n">
        <f aca="false">IF(OR(D86="",E86=""),1,MAX(1,DATEVALUE(E86)-DATEVALUE(D86)))</f>
        <v>2</v>
      </c>
      <c r="G86" s="11" t="n">
        <v>37988</v>
      </c>
      <c r="H86" s="11" t="n">
        <v>39556</v>
      </c>
      <c r="I86" s="11"/>
      <c r="J86" s="11"/>
      <c r="K86" s="11"/>
      <c r="L86" s="12"/>
      <c r="M86" s="13"/>
      <c r="N86" s="14" t="n">
        <f aca="false">IF(G86="","",G86/F86)</f>
        <v>18994</v>
      </c>
      <c r="O86" s="14" t="n">
        <f aca="false">IF(COUNT(H86:K86)=0,"",MIN(H86:K86)/F86)</f>
        <v>19778</v>
      </c>
      <c r="P86" s="14" t="str">
        <f aca="false">IF(L86="","",L86*95/F86)</f>
        <v/>
      </c>
      <c r="Q86" s="15" t="n">
        <f aca="false">IF(OR(N86="",O86=""),"",(IF(AND(N86&gt;7500,O86&gt;7500),O86/(1+IF(O86&lt;=1000,0,IF(O86&lt;=7500,0.05,0.18)))-IF(AND(N86&gt;7500,O86&gt;7500),N86/1.18,N86),(O86-IF(AND(N86&gt;7500,O86&gt;7500),N86/1.18,N86))/(1+IF(O86&lt;=1000,0,IF(O86&lt;=7500,0.05,0.18)))))/(IF(AND(N86&gt;7500,O86&gt;7500),N86/1.18,N86)))</f>
        <v>0.0412761924818364</v>
      </c>
      <c r="R86" s="15" t="n">
        <f aca="false">IF(OR(N86="",O86=""),"",((O86-N86)/1.18)/N86)</f>
        <v>0.0349798241371495</v>
      </c>
      <c r="S86" s="15" t="str">
        <f aca="false">IF(OR(P86="",O86=""),"",(P86-O86)/O86)</f>
        <v/>
      </c>
      <c r="T86" s="9" t="str">
        <f aca="false">IF(AND(D86="",G86&lt;&gt;""),"no dates - assumed 1 night",IF(Q86="","",IF(Q86&gt;1.5,"check: markup &gt;150%",IF(Q86&lt;0,"below cost",""))))</f>
        <v/>
      </c>
    </row>
    <row r="87" customFormat="false" ht="15" hidden="false" customHeight="false" outlineLevel="0" collapsed="false">
      <c r="A87" s="9" t="s">
        <v>10</v>
      </c>
      <c r="B87" s="9" t="s">
        <v>120</v>
      </c>
      <c r="C87" s="9" t="s">
        <v>50</v>
      </c>
      <c r="D87" s="10" t="s">
        <v>92</v>
      </c>
      <c r="E87" s="10" t="s">
        <v>93</v>
      </c>
      <c r="F87" s="9" t="n">
        <f aca="false">IF(OR(D87="",E87=""),1,MAX(1,DATEVALUE(E87)-DATEVALUE(D87)))</f>
        <v>1</v>
      </c>
      <c r="G87" s="11" t="n">
        <v>9274</v>
      </c>
      <c r="H87" s="11" t="n">
        <v>9752</v>
      </c>
      <c r="I87" s="11"/>
      <c r="J87" s="11"/>
      <c r="K87" s="11"/>
      <c r="L87" s="12"/>
      <c r="M87" s="13"/>
      <c r="N87" s="14" t="n">
        <f aca="false">IF(G87="","",G87/F87)</f>
        <v>9274</v>
      </c>
      <c r="O87" s="14" t="n">
        <f aca="false">IF(COUNT(H87:K87)=0,"",MIN(H87:K87)/F87)</f>
        <v>9752</v>
      </c>
      <c r="P87" s="14" t="str">
        <f aca="false">IF(L87="","",L87*95/F87)</f>
        <v/>
      </c>
      <c r="Q87" s="15" t="n">
        <f aca="false">IF(OR(N87="",O87=""),"",(IF(AND(N87&gt;7500,O87&gt;7500),O87/(1+IF(O87&lt;=1000,0,IF(O87&lt;=7500,0.05,0.18)))-IF(AND(N87&gt;7500,O87&gt;7500),N87/1.18,N87),(O87-IF(AND(N87&gt;7500,O87&gt;7500),N87/1.18,N87))/(1+IF(O87&lt;=1000,0,IF(O87&lt;=7500,0.05,0.18)))))/(IF(AND(N87&gt;7500,O87&gt;7500),N87/1.18,N87)))</f>
        <v>0.0515419452232047</v>
      </c>
      <c r="R87" s="15" t="n">
        <f aca="false">IF(OR(N87="",O87=""),"",((O87-N87)/1.18)/N87)</f>
        <v>0.0436796145959362</v>
      </c>
      <c r="S87" s="15" t="str">
        <f aca="false">IF(OR(P87="",O87=""),"",(P87-O87)/O87)</f>
        <v/>
      </c>
      <c r="T87" s="9" t="str">
        <f aca="false">IF(AND(D87="",G87&lt;&gt;""),"no dates - assumed 1 night",IF(Q87="","",IF(Q87&gt;1.5,"check: markup &gt;150%",IF(Q87&lt;0,"below cost",""))))</f>
        <v/>
      </c>
    </row>
    <row r="88" customFormat="false" ht="15" hidden="false" customHeight="false" outlineLevel="0" collapsed="false">
      <c r="A88" s="9" t="s">
        <v>10</v>
      </c>
      <c r="B88" s="9" t="s">
        <v>121</v>
      </c>
      <c r="C88" s="9" t="s">
        <v>41</v>
      </c>
      <c r="D88" s="10" t="s">
        <v>88</v>
      </c>
      <c r="E88" s="10" t="s">
        <v>43</v>
      </c>
      <c r="F88" s="9" t="n">
        <f aca="false">IF(OR(D88="",E88=""),1,MAX(1,DATEVALUE(E88)-DATEVALUE(D88)))</f>
        <v>2</v>
      </c>
      <c r="G88" s="11" t="n">
        <v>31408</v>
      </c>
      <c r="H88" s="11" t="n">
        <v>31739</v>
      </c>
      <c r="I88" s="11"/>
      <c r="J88" s="11"/>
      <c r="K88" s="11"/>
      <c r="L88" s="12"/>
      <c r="M88" s="13"/>
      <c r="N88" s="14" t="n">
        <f aca="false">IF(G88="","",G88/F88)</f>
        <v>15704</v>
      </c>
      <c r="O88" s="14" t="n">
        <f aca="false">IF(COUNT(H88:K88)=0,"",MIN(H88:K88)/F88)</f>
        <v>15869.5</v>
      </c>
      <c r="P88" s="14" t="str">
        <f aca="false">IF(L88="","",L88*95/F88)</f>
        <v/>
      </c>
      <c r="Q88" s="15" t="n">
        <f aca="false">IF(OR(N88="",O88=""),"",(IF(AND(N88&gt;7500,O88&gt;7500),O88/(1+IF(O88&lt;=1000,0,IF(O88&lt;=7500,0.05,0.18)))-IF(AND(N88&gt;7500,O88&gt;7500),N88/1.18,N88),(O88-IF(AND(N88&gt;7500,O88&gt;7500),N88/1.18,N88))/(1+IF(O88&lt;=1000,0,IF(O88&lt;=7500,0.05,0.18)))))/(IF(AND(N88&gt;7500,O88&gt;7500),N88/1.18,N88)))</f>
        <v>0.0105387162506368</v>
      </c>
      <c r="R88" s="15" t="n">
        <f aca="false">IF(OR(N88="",O88=""),"",((O88-N88)/1.18)/N88)</f>
        <v>0.00893111546664134</v>
      </c>
      <c r="S88" s="15" t="str">
        <f aca="false">IF(OR(P88="",O88=""),"",(P88-O88)/O88)</f>
        <v/>
      </c>
      <c r="T88" s="9" t="str">
        <f aca="false">IF(AND(D88="",G88&lt;&gt;""),"no dates - assumed 1 night",IF(Q88="","",IF(Q88&gt;1.5,"check: markup &gt;150%",IF(Q88&lt;0,"below cost",""))))</f>
        <v/>
      </c>
    </row>
    <row r="89" customFormat="false" ht="15" hidden="false" customHeight="false" outlineLevel="0" collapsed="false">
      <c r="A89" s="9" t="s">
        <v>10</v>
      </c>
      <c r="B89" s="9" t="s">
        <v>121</v>
      </c>
      <c r="C89" s="9" t="s">
        <v>44</v>
      </c>
      <c r="D89" s="10" t="s">
        <v>45</v>
      </c>
      <c r="E89" s="10" t="s">
        <v>89</v>
      </c>
      <c r="F89" s="9" t="n">
        <f aca="false">IF(OR(D89="",E89=""),1,MAX(1,DATEVALUE(E89)-DATEVALUE(D89)))</f>
        <v>2</v>
      </c>
      <c r="G89" s="11" t="n">
        <v>28171</v>
      </c>
      <c r="H89" s="11" t="n">
        <v>28101</v>
      </c>
      <c r="I89" s="11"/>
      <c r="J89" s="11"/>
      <c r="K89" s="11"/>
      <c r="L89" s="12"/>
      <c r="M89" s="13"/>
      <c r="N89" s="14" t="n">
        <f aca="false">IF(G89="","",G89/F89)</f>
        <v>14085.5</v>
      </c>
      <c r="O89" s="14" t="n">
        <f aca="false">IF(COUNT(H89:K89)=0,"",MIN(H89:K89)/F89)</f>
        <v>14050.5</v>
      </c>
      <c r="P89" s="14" t="str">
        <f aca="false">IF(L89="","",L89*95/F89)</f>
        <v/>
      </c>
      <c r="Q89" s="15" t="n">
        <f aca="false">IF(OR(N89="",O89=""),"",(IF(AND(N89&gt;7500,O89&gt;7500),O89/(1+IF(O89&lt;=1000,0,IF(O89&lt;=7500,0.05,0.18)))-IF(AND(N89&gt;7500,O89&gt;7500),N89/1.18,N89),(O89-IF(AND(N89&gt;7500,O89&gt;7500),N89/1.18,N89))/(1+IF(O89&lt;=1000,0,IF(O89&lt;=7500,0.05,0.18)))))/(IF(AND(N89&gt;7500,O89&gt;7500),N89/1.18,N89)))</f>
        <v>-0.00248482481985018</v>
      </c>
      <c r="R89" s="15" t="n">
        <f aca="false">IF(OR(N89="",O89=""),"",((O89-N89)/1.18)/N89)</f>
        <v>-0.00210578374563576</v>
      </c>
      <c r="S89" s="15" t="str">
        <f aca="false">IF(OR(P89="",O89=""),"",(P89-O89)/O89)</f>
        <v/>
      </c>
      <c r="T89" s="9" t="str">
        <f aca="false">IF(AND(D89="",G89&lt;&gt;""),"no dates - assumed 1 night",IF(Q89="","",IF(Q89&gt;1.5,"check: markup &gt;150%",IF(Q89&lt;0,"below cost",""))))</f>
        <v>below cost</v>
      </c>
    </row>
    <row r="90" customFormat="false" ht="15" hidden="false" customHeight="false" outlineLevel="0" collapsed="false">
      <c r="A90" s="9" t="s">
        <v>10</v>
      </c>
      <c r="B90" s="9" t="s">
        <v>121</v>
      </c>
      <c r="C90" s="9" t="s">
        <v>47</v>
      </c>
      <c r="D90" s="10" t="s">
        <v>90</v>
      </c>
      <c r="E90" s="10" t="s">
        <v>91</v>
      </c>
      <c r="F90" s="9" t="n">
        <f aca="false">IF(OR(D90="",E90=""),1,MAX(1,DATEVALUE(E90)-DATEVALUE(D90)))</f>
        <v>1</v>
      </c>
      <c r="G90" s="11" t="n">
        <v>14461</v>
      </c>
      <c r="H90" s="11" t="n">
        <v>14143</v>
      </c>
      <c r="I90" s="11"/>
      <c r="J90" s="11"/>
      <c r="K90" s="11"/>
      <c r="L90" s="12"/>
      <c r="M90" s="13"/>
      <c r="N90" s="14" t="n">
        <f aca="false">IF(G90="","",G90/F90)</f>
        <v>14461</v>
      </c>
      <c r="O90" s="14" t="n">
        <f aca="false">IF(COUNT(H90:K90)=0,"",MIN(H90:K90)/F90)</f>
        <v>14143</v>
      </c>
      <c r="P90" s="14" t="str">
        <f aca="false">IF(L90="","",L90*95/F90)</f>
        <v/>
      </c>
      <c r="Q90" s="15" t="n">
        <f aca="false">IF(OR(N90="",O90=""),"",(IF(AND(N90&gt;7500,O90&gt;7500),O90/(1+IF(O90&lt;=1000,0,IF(O90&lt;=7500,0.05,0.18)))-IF(AND(N90&gt;7500,O90&gt;7500),N90/1.18,N90),(O90-IF(AND(N90&gt;7500,O90&gt;7500),N90/1.18,N90))/(1+IF(O90&lt;=1000,0,IF(O90&lt;=7500,0.05,0.18)))))/(IF(AND(N90&gt;7500,O90&gt;7500),N90/1.18,N90)))</f>
        <v>-0.0219901804854437</v>
      </c>
      <c r="R90" s="15" t="n">
        <f aca="false">IF(OR(N90="",O90=""),"",((O90-N90)/1.18)/N90)</f>
        <v>-0.0186357461741048</v>
      </c>
      <c r="S90" s="15" t="str">
        <f aca="false">IF(OR(P90="",O90=""),"",(P90-O90)/O90)</f>
        <v/>
      </c>
      <c r="T90" s="9" t="str">
        <f aca="false">IF(AND(D90="",G90&lt;&gt;""),"no dates - assumed 1 night",IF(Q90="","",IF(Q90&gt;1.5,"check: markup &gt;150%",IF(Q90&lt;0,"below cost",""))))</f>
        <v>below cost</v>
      </c>
    </row>
    <row r="91" customFormat="false" ht="15" hidden="false" customHeight="false" outlineLevel="0" collapsed="false">
      <c r="A91" s="9" t="s">
        <v>10</v>
      </c>
      <c r="B91" s="9" t="s">
        <v>121</v>
      </c>
      <c r="C91" s="9" t="s">
        <v>50</v>
      </c>
      <c r="D91" s="10" t="s">
        <v>92</v>
      </c>
      <c r="E91" s="10" t="s">
        <v>93</v>
      </c>
      <c r="F91" s="9" t="n">
        <f aca="false">IF(OR(D91="",E91=""),1,MAX(1,DATEVALUE(E91)-DATEVALUE(D91)))</f>
        <v>1</v>
      </c>
      <c r="G91" s="11" t="n">
        <v>14601</v>
      </c>
      <c r="H91" s="11" t="n">
        <v>14143</v>
      </c>
      <c r="I91" s="11"/>
      <c r="J91" s="11"/>
      <c r="K91" s="11"/>
      <c r="L91" s="12"/>
      <c r="M91" s="13"/>
      <c r="N91" s="14" t="n">
        <f aca="false">IF(G91="","",G91/F91)</f>
        <v>14601</v>
      </c>
      <c r="O91" s="14" t="n">
        <f aca="false">IF(COUNT(H91:K91)=0,"",MIN(H91:K91)/F91)</f>
        <v>14143</v>
      </c>
      <c r="P91" s="14" t="str">
        <f aca="false">IF(L91="","",L91*95/F91)</f>
        <v/>
      </c>
      <c r="Q91" s="15" t="n">
        <f aca="false">IF(OR(N91="",O91=""),"",(IF(AND(N91&gt;7500,O91&gt;7500),O91/(1+IF(O91&lt;=1000,0,IF(O91&lt;=7500,0.05,0.18)))-IF(AND(N91&gt;7500,O91&gt;7500),N91/1.18,N91),(O91-IF(AND(N91&gt;7500,O91&gt;7500),N91/1.18,N91))/(1+IF(O91&lt;=1000,0,IF(O91&lt;=7500,0.05,0.18)))))/(IF(AND(N91&gt;7500,O91&gt;7500),N91/1.18,N91)))</f>
        <v>-0.0313677145401</v>
      </c>
      <c r="R91" s="15" t="n">
        <f aca="false">IF(OR(N91="",O91=""),"",((O91-N91)/1.18)/N91)</f>
        <v>-0.0265828089322881</v>
      </c>
      <c r="S91" s="15" t="str">
        <f aca="false">IF(OR(P91="",O91=""),"",(P91-O91)/O91)</f>
        <v/>
      </c>
      <c r="T91" s="9" t="str">
        <f aca="false">IF(AND(D91="",G91&lt;&gt;""),"no dates - assumed 1 night",IF(Q91="","",IF(Q91&gt;1.5,"check: markup &gt;150%",IF(Q91&lt;0,"below cost",""))))</f>
        <v>below cost</v>
      </c>
    </row>
    <row r="92" customFormat="false" ht="15" hidden="false" customHeight="false" outlineLevel="0" collapsed="false">
      <c r="A92" s="9" t="s">
        <v>10</v>
      </c>
      <c r="B92" s="9" t="s">
        <v>122</v>
      </c>
      <c r="C92" s="9" t="s">
        <v>41</v>
      </c>
      <c r="D92" s="10" t="s">
        <v>88</v>
      </c>
      <c r="E92" s="10" t="s">
        <v>43</v>
      </c>
      <c r="F92" s="9" t="n">
        <f aca="false">IF(OR(D92="",E92=""),1,MAX(1,DATEVALUE(E92)-DATEVALUE(D92)))</f>
        <v>2</v>
      </c>
      <c r="G92" s="11" t="n">
        <v>42101</v>
      </c>
      <c r="H92" s="11"/>
      <c r="I92" s="11"/>
      <c r="J92" s="11"/>
      <c r="K92" s="11"/>
      <c r="L92" s="12"/>
      <c r="M92" s="13"/>
      <c r="N92" s="14" t="n">
        <f aca="false">IF(G92="","",G92/F92)</f>
        <v>21050.5</v>
      </c>
      <c r="O92" s="14" t="str">
        <f aca="false">IF(COUNT(H92:K92)=0,"",MIN(H92:K92)/F92)</f>
        <v/>
      </c>
      <c r="P92" s="14" t="str">
        <f aca="false">IF(L92="","",L92*95/F92)</f>
        <v/>
      </c>
      <c r="Q92" s="15" t="str">
        <f aca="false">IF(OR(N92="",O92=""),"",(IF(AND(N92&gt;7500,O92&gt;7500),O92/(1+IF(O92&lt;=1000,0,IF(O92&lt;=7500,0.05,0.18)))-IF(AND(N92&gt;7500,O92&gt;7500),N92/1.18,N92),(O92-IF(AND(N92&gt;7500,O92&gt;7500),N92/1.18,N92))/(1+IF(O92&lt;=1000,0,IF(O92&lt;=7500,0.05,0.18)))))/(IF(AND(N92&gt;7500,O92&gt;7500),N92/1.18,N92)))</f>
        <v/>
      </c>
      <c r="R92" s="15" t="str">
        <f aca="false">IF(OR(N92="",O92=""),"",((O92-N92)/1.18)/N92)</f>
        <v/>
      </c>
      <c r="S92" s="15" t="str">
        <f aca="false">IF(OR(P92="",O92=""),"",(P92-O92)/O92)</f>
        <v/>
      </c>
      <c r="T92" s="9" t="str">
        <f aca="false">IF(AND(D92="",G92&lt;&gt;""),"no dates - assumed 1 night",IF(Q92="","",IF(Q92&gt;1.5,"check: markup &gt;150%",IF(Q92&lt;0,"below cost",""))))</f>
        <v/>
      </c>
    </row>
    <row r="93" customFormat="false" ht="15" hidden="false" customHeight="false" outlineLevel="0" collapsed="false">
      <c r="A93" s="9" t="s">
        <v>10</v>
      </c>
      <c r="B93" s="9" t="s">
        <v>122</v>
      </c>
      <c r="C93" s="9" t="s">
        <v>44</v>
      </c>
      <c r="D93" s="10" t="s">
        <v>45</v>
      </c>
      <c r="E93" s="10" t="s">
        <v>89</v>
      </c>
      <c r="F93" s="9" t="n">
        <f aca="false">IF(OR(D93="",E93=""),1,MAX(1,DATEVALUE(E93)-DATEVALUE(D93)))</f>
        <v>2</v>
      </c>
      <c r="G93" s="11" t="n">
        <v>30302</v>
      </c>
      <c r="H93" s="11" t="n">
        <v>24441</v>
      </c>
      <c r="I93" s="11"/>
      <c r="J93" s="11"/>
      <c r="K93" s="11"/>
      <c r="L93" s="12"/>
      <c r="M93" s="13"/>
      <c r="N93" s="14" t="n">
        <f aca="false">IF(G93="","",G93/F93)</f>
        <v>15151</v>
      </c>
      <c r="O93" s="14" t="n">
        <f aca="false">IF(COUNT(H93:K93)=0,"",MIN(H93:K93)/F93)</f>
        <v>12220.5</v>
      </c>
      <c r="P93" s="14" t="str">
        <f aca="false">IF(L93="","",L93*95/F93)</f>
        <v/>
      </c>
      <c r="Q93" s="15" t="n">
        <f aca="false">IF(OR(N93="",O93=""),"",(IF(AND(N93&gt;7500,O93&gt;7500),O93/(1+IF(O93&lt;=1000,0,IF(O93&lt;=7500,0.05,0.18)))-IF(AND(N93&gt;7500,O93&gt;7500),N93/1.18,N93),(O93-IF(AND(N93&gt;7500,O93&gt;7500),N93/1.18,N93))/(1+IF(O93&lt;=1000,0,IF(O93&lt;=7500,0.05,0.18)))))/(IF(AND(N93&gt;7500,O93&gt;7500),N93/1.18,N93)))</f>
        <v>-0.193419576265593</v>
      </c>
      <c r="R93" s="15" t="n">
        <f aca="false">IF(OR(N93="",O93=""),"",((O93-N93)/1.18)/N93)</f>
        <v>-0.163914895140333</v>
      </c>
      <c r="S93" s="15" t="str">
        <f aca="false">IF(OR(P93="",O93=""),"",(P93-O93)/O93)</f>
        <v/>
      </c>
      <c r="T93" s="9" t="str">
        <f aca="false">IF(AND(D93="",G93&lt;&gt;""),"no dates - assumed 1 night",IF(Q93="","",IF(Q93&gt;1.5,"check: markup &gt;150%",IF(Q93&lt;0,"below cost",""))))</f>
        <v>below cost</v>
      </c>
    </row>
    <row r="94" customFormat="false" ht="15" hidden="false" customHeight="false" outlineLevel="0" collapsed="false">
      <c r="A94" s="9" t="s">
        <v>10</v>
      </c>
      <c r="B94" s="9" t="s">
        <v>122</v>
      </c>
      <c r="C94" s="9" t="s">
        <v>50</v>
      </c>
      <c r="D94" s="10" t="s">
        <v>92</v>
      </c>
      <c r="E94" s="10" t="s">
        <v>93</v>
      </c>
      <c r="F94" s="9" t="n">
        <f aca="false">IF(OR(D94="",E94=""),1,MAX(1,DATEVALUE(E94)-DATEVALUE(D94)))</f>
        <v>1</v>
      </c>
      <c r="G94" s="11" t="n">
        <v>15552</v>
      </c>
      <c r="H94" s="11" t="n">
        <v>12442</v>
      </c>
      <c r="I94" s="11"/>
      <c r="J94" s="11"/>
      <c r="K94" s="11"/>
      <c r="L94" s="12"/>
      <c r="M94" s="13"/>
      <c r="N94" s="14" t="n">
        <f aca="false">IF(G94="","",G94/F94)</f>
        <v>15552</v>
      </c>
      <c r="O94" s="14" t="n">
        <f aca="false">IF(COUNT(H94:K94)=0,"",MIN(H94:K94)/F94)</f>
        <v>12442</v>
      </c>
      <c r="P94" s="14" t="str">
        <f aca="false">IF(L94="","",L94*95/F94)</f>
        <v/>
      </c>
      <c r="Q94" s="15" t="n">
        <f aca="false">IF(OR(N94="",O94=""),"",(IF(AND(N94&gt;7500,O94&gt;7500),O94/(1+IF(O94&lt;=1000,0,IF(O94&lt;=7500,0.05,0.18)))-IF(AND(N94&gt;7500,O94&gt;7500),N94/1.18,N94),(O94-IF(AND(N94&gt;7500,O94&gt;7500),N94/1.18,N94))/(1+IF(O94&lt;=1000,0,IF(O94&lt;=7500,0.05,0.18)))))/(IF(AND(N94&gt;7500,O94&gt;7500),N94/1.18,N94)))</f>
        <v>-0.199974279835391</v>
      </c>
      <c r="R94" s="15" t="n">
        <f aca="false">IF(OR(N94="",O94=""),"",((O94-N94)/1.18)/N94)</f>
        <v>-0.16946972867406</v>
      </c>
      <c r="S94" s="15" t="str">
        <f aca="false">IF(OR(P94="",O94=""),"",(P94-O94)/O94)</f>
        <v/>
      </c>
      <c r="T94" s="9" t="str">
        <f aca="false">IF(AND(D94="",G94&lt;&gt;""),"no dates - assumed 1 night",IF(Q94="","",IF(Q94&gt;1.5,"check: markup &gt;150%",IF(Q94&lt;0,"below cost",""))))</f>
        <v>below cost</v>
      </c>
    </row>
    <row r="95" customFormat="false" ht="15" hidden="false" customHeight="false" outlineLevel="0" collapsed="false">
      <c r="A95" s="9" t="s">
        <v>10</v>
      </c>
      <c r="B95" s="9" t="s">
        <v>123</v>
      </c>
      <c r="C95" s="9" t="s">
        <v>41</v>
      </c>
      <c r="D95" s="10" t="s">
        <v>95</v>
      </c>
      <c r="E95" s="10" t="s">
        <v>96</v>
      </c>
      <c r="F95" s="9" t="n">
        <f aca="false">IF(OR(D95="",E95=""),1,MAX(1,DATEVALUE(E95)-DATEVALUE(D95)))</f>
        <v>2</v>
      </c>
      <c r="G95" s="11" t="n">
        <v>17440</v>
      </c>
      <c r="H95" s="11" t="n">
        <v>19911</v>
      </c>
      <c r="I95" s="11"/>
      <c r="J95" s="11"/>
      <c r="K95" s="11"/>
      <c r="L95" s="12"/>
      <c r="M95" s="13"/>
      <c r="N95" s="14" t="n">
        <f aca="false">IF(G95="","",G95/F95)</f>
        <v>8720</v>
      </c>
      <c r="O95" s="14" t="n">
        <f aca="false">IF(COUNT(H95:K95)=0,"",MIN(H95:K95)/F95)</f>
        <v>9955.5</v>
      </c>
      <c r="P95" s="14" t="str">
        <f aca="false">IF(L95="","",L95*95/F95)</f>
        <v/>
      </c>
      <c r="Q95" s="15" t="n">
        <f aca="false">IF(OR(N95="",O95=""),"",(IF(AND(N95&gt;7500,O95&gt;7500),O95/(1+IF(O95&lt;=1000,0,IF(O95&lt;=7500,0.05,0.18)))-IF(AND(N95&gt;7500,O95&gt;7500),N95/1.18,N95),(O95-IF(AND(N95&gt;7500,O95&gt;7500),N95/1.18,N95))/(1+IF(O95&lt;=1000,0,IF(O95&lt;=7500,0.05,0.18)))))/(IF(AND(N95&gt;7500,O95&gt;7500),N95/1.18,N95)))</f>
        <v>0.141685779816514</v>
      </c>
      <c r="R95" s="15" t="n">
        <f aca="false">IF(OR(N95="",O95=""),"",((O95-N95)/1.18)/N95)</f>
        <v>0.120072694759757</v>
      </c>
      <c r="S95" s="15" t="str">
        <f aca="false">IF(OR(P95="",O95=""),"",(P95-O95)/O95)</f>
        <v/>
      </c>
      <c r="T95" s="9" t="str">
        <f aca="false">IF(AND(D95="",G95&lt;&gt;""),"no dates - assumed 1 night",IF(Q95="","",IF(Q95&gt;1.5,"check: markup &gt;150%",IF(Q95&lt;0,"below cost",""))))</f>
        <v/>
      </c>
    </row>
    <row r="96" customFormat="false" ht="15" hidden="false" customHeight="false" outlineLevel="0" collapsed="false">
      <c r="A96" s="9" t="s">
        <v>10</v>
      </c>
      <c r="B96" s="9" t="s">
        <v>123</v>
      </c>
      <c r="C96" s="9" t="s">
        <v>44</v>
      </c>
      <c r="D96" s="10" t="s">
        <v>99</v>
      </c>
      <c r="E96" s="10" t="s">
        <v>89</v>
      </c>
      <c r="F96" s="9" t="n">
        <f aca="false">IF(OR(D96="",E96=""),1,MAX(1,DATEVALUE(E96)-DATEVALUE(D96)))</f>
        <v>3</v>
      </c>
      <c r="G96" s="11" t="n">
        <v>25015</v>
      </c>
      <c r="H96" s="11" t="n">
        <v>28804</v>
      </c>
      <c r="I96" s="11"/>
      <c r="J96" s="11"/>
      <c r="K96" s="11"/>
      <c r="L96" s="12"/>
      <c r="M96" s="13"/>
      <c r="N96" s="14" t="n">
        <f aca="false">IF(G96="","",G96/F96)</f>
        <v>8338.33333333333</v>
      </c>
      <c r="O96" s="14" t="n">
        <f aca="false">IF(COUNT(H96:K96)=0,"",MIN(H96:K96)/F96)</f>
        <v>9601.33333333333</v>
      </c>
      <c r="P96" s="14" t="str">
        <f aca="false">IF(L96="","",L96*95/F96)</f>
        <v/>
      </c>
      <c r="Q96" s="15" t="n">
        <f aca="false">IF(OR(N96="",O96=""),"",(IF(AND(N96&gt;7500,O96&gt;7500),O96/(1+IF(O96&lt;=1000,0,IF(O96&lt;=7500,0.05,0.18)))-IF(AND(N96&gt;7500,O96&gt;7500),N96/1.18,N96),(O96-IF(AND(N96&gt;7500,O96&gt;7500),N96/1.18,N96))/(1+IF(O96&lt;=1000,0,IF(O96&lt;=7500,0.05,0.18)))))/(IF(AND(N96&gt;7500,O96&gt;7500),N96/1.18,N96)))</f>
        <v>0.151469118528883</v>
      </c>
      <c r="R96" s="15" t="n">
        <f aca="false">IF(OR(N96="",O96=""),"",((O96-N96)/1.18)/N96)</f>
        <v>0.12836365977024</v>
      </c>
      <c r="S96" s="15" t="str">
        <f aca="false">IF(OR(P96="",O96=""),"",(P96-O96)/O96)</f>
        <v/>
      </c>
      <c r="T96" s="9" t="str">
        <f aca="false">IF(AND(D96="",G96&lt;&gt;""),"no dates - assumed 1 night",IF(Q96="","",IF(Q96&gt;1.5,"check: markup &gt;150%",IF(Q96&lt;0,"below cost",""))))</f>
        <v/>
      </c>
    </row>
    <row r="97" customFormat="false" ht="15" hidden="false" customHeight="false" outlineLevel="0" collapsed="false">
      <c r="A97" s="9" t="s">
        <v>10</v>
      </c>
      <c r="B97" s="9" t="s">
        <v>123</v>
      </c>
      <c r="C97" s="9" t="s">
        <v>47</v>
      </c>
      <c r="D97" s="10" t="s">
        <v>102</v>
      </c>
      <c r="E97" s="10" t="s">
        <v>91</v>
      </c>
      <c r="F97" s="9" t="n">
        <f aca="false">IF(OR(D97="",E97=""),1,MAX(1,DATEVALUE(E97)-DATEVALUE(D97)))</f>
        <v>2</v>
      </c>
      <c r="G97" s="11" t="n">
        <v>21593</v>
      </c>
      <c r="H97" s="11" t="n">
        <v>22920</v>
      </c>
      <c r="I97" s="11"/>
      <c r="J97" s="11"/>
      <c r="K97" s="11"/>
      <c r="L97" s="12"/>
      <c r="M97" s="13"/>
      <c r="N97" s="14" t="n">
        <f aca="false">IF(G97="","",G97/F97)</f>
        <v>10796.5</v>
      </c>
      <c r="O97" s="14" t="n">
        <f aca="false">IF(COUNT(H97:K97)=0,"",MIN(H97:K97)/F97)</f>
        <v>11460</v>
      </c>
      <c r="P97" s="14" t="str">
        <f aca="false">IF(L97="","",L97*95/F97)</f>
        <v/>
      </c>
      <c r="Q97" s="15" t="n">
        <f aca="false">IF(OR(N97="",O97=""),"",(IF(AND(N97&gt;7500,O97&gt;7500),O97/(1+IF(O97&lt;=1000,0,IF(O97&lt;=7500,0.05,0.18)))-IF(AND(N97&gt;7500,O97&gt;7500),N97/1.18,N97),(O97-IF(AND(N97&gt;7500,O97&gt;7500),N97/1.18,N97))/(1+IF(O97&lt;=1000,0,IF(O97&lt;=7500,0.05,0.18)))))/(IF(AND(N97&gt;7500,O97&gt;7500),N97/1.18,N97)))</f>
        <v>0.0614551011902005</v>
      </c>
      <c r="R97" s="15" t="n">
        <f aca="false">IF(OR(N97="",O97=""),"",((O97-N97)/1.18)/N97)</f>
        <v>0.0520805942289835</v>
      </c>
      <c r="S97" s="15" t="str">
        <f aca="false">IF(OR(P97="",O97=""),"",(P97-O97)/O97)</f>
        <v/>
      </c>
      <c r="T97" s="9" t="str">
        <f aca="false">IF(AND(D97="",G97&lt;&gt;""),"no dates - assumed 1 night",IF(Q97="","",IF(Q97&gt;1.5,"check: markup &gt;150%",IF(Q97&lt;0,"below cost",""))))</f>
        <v/>
      </c>
    </row>
    <row r="98" customFormat="false" ht="15" hidden="false" customHeight="false" outlineLevel="0" collapsed="false">
      <c r="A98" s="9" t="s">
        <v>10</v>
      </c>
      <c r="B98" s="9" t="s">
        <v>123</v>
      </c>
      <c r="C98" s="9" t="s">
        <v>50</v>
      </c>
      <c r="D98" s="10" t="s">
        <v>100</v>
      </c>
      <c r="E98" s="10" t="s">
        <v>93</v>
      </c>
      <c r="F98" s="9" t="n">
        <f aca="false">IF(OR(D98="",E98=""),1,MAX(1,DATEVALUE(E98)-DATEVALUE(D98)))</f>
        <v>2</v>
      </c>
      <c r="G98" s="11" t="n">
        <v>17440</v>
      </c>
      <c r="H98" s="11" t="n">
        <v>19911</v>
      </c>
      <c r="I98" s="11"/>
      <c r="J98" s="11"/>
      <c r="K98" s="11"/>
      <c r="L98" s="12"/>
      <c r="M98" s="13"/>
      <c r="N98" s="14" t="n">
        <f aca="false">IF(G98="","",G98/F98)</f>
        <v>8720</v>
      </c>
      <c r="O98" s="14" t="n">
        <f aca="false">IF(COUNT(H98:K98)=0,"",MIN(H98:K98)/F98)</f>
        <v>9955.5</v>
      </c>
      <c r="P98" s="14" t="str">
        <f aca="false">IF(L98="","",L98*95/F98)</f>
        <v/>
      </c>
      <c r="Q98" s="15" t="n">
        <f aca="false">IF(OR(N98="",O98=""),"",(IF(AND(N98&gt;7500,O98&gt;7500),O98/(1+IF(O98&lt;=1000,0,IF(O98&lt;=7500,0.05,0.18)))-IF(AND(N98&gt;7500,O98&gt;7500),N98/1.18,N98),(O98-IF(AND(N98&gt;7500,O98&gt;7500),N98/1.18,N98))/(1+IF(O98&lt;=1000,0,IF(O98&lt;=7500,0.05,0.18)))))/(IF(AND(N98&gt;7500,O98&gt;7500),N98/1.18,N98)))</f>
        <v>0.141685779816514</v>
      </c>
      <c r="R98" s="15" t="n">
        <f aca="false">IF(OR(N98="",O98=""),"",((O98-N98)/1.18)/N98)</f>
        <v>0.120072694759757</v>
      </c>
      <c r="S98" s="15" t="str">
        <f aca="false">IF(OR(P98="",O98=""),"",(P98-O98)/O98)</f>
        <v/>
      </c>
      <c r="T98" s="9" t="str">
        <f aca="false">IF(AND(D98="",G98&lt;&gt;""),"no dates - assumed 1 night",IF(Q98="","",IF(Q98&gt;1.5,"check: markup &gt;150%",IF(Q98&lt;0,"below cost",""))))</f>
        <v/>
      </c>
    </row>
    <row r="99" customFormat="false" ht="15" hidden="false" customHeight="false" outlineLevel="0" collapsed="false">
      <c r="A99" s="9" t="s">
        <v>10</v>
      </c>
      <c r="B99" s="9" t="s">
        <v>123</v>
      </c>
      <c r="C99" s="9" t="s">
        <v>54</v>
      </c>
      <c r="D99" s="10" t="s">
        <v>103</v>
      </c>
      <c r="E99" s="10" t="s">
        <v>104</v>
      </c>
      <c r="F99" s="9" t="n">
        <f aca="false">IF(OR(D99="",E99=""),1,MAX(1,DATEVALUE(E99)-DATEVALUE(D99)))</f>
        <v>3</v>
      </c>
      <c r="G99" s="11" t="n">
        <v>25041</v>
      </c>
      <c r="H99" s="11" t="n">
        <v>28804</v>
      </c>
      <c r="I99" s="11"/>
      <c r="J99" s="11"/>
      <c r="K99" s="11"/>
      <c r="L99" s="12"/>
      <c r="M99" s="13"/>
      <c r="N99" s="14" t="n">
        <f aca="false">IF(G99="","",G99/F99)</f>
        <v>8347</v>
      </c>
      <c r="O99" s="14" t="n">
        <f aca="false">IF(COUNT(H99:K99)=0,"",MIN(H99:K99)/F99)</f>
        <v>9601.33333333333</v>
      </c>
      <c r="P99" s="14" t="str">
        <f aca="false">IF(L99="","",L99*95/F99)</f>
        <v/>
      </c>
      <c r="Q99" s="15" t="n">
        <f aca="false">IF(OR(N99="",O99=""),"",(IF(AND(N99&gt;7500,O99&gt;7500),O99/(1+IF(O99&lt;=1000,0,IF(O99&lt;=7500,0.05,0.18)))-IF(AND(N99&gt;7500,O99&gt;7500),N99/1.18,N99),(O99-IF(AND(N99&gt;7500,O99&gt;7500),N99/1.18,N99))/(1+IF(O99&lt;=1000,0,IF(O99&lt;=7500,0.05,0.18)))))/(IF(AND(N99&gt;7500,O99&gt;7500),N99/1.18,N99)))</f>
        <v>0.150273551375744</v>
      </c>
      <c r="R99" s="15" t="n">
        <f aca="false">IF(OR(N99="",O99=""),"",((O99-N99)/1.18)/N99)</f>
        <v>0.12735046726758</v>
      </c>
      <c r="S99" s="15" t="str">
        <f aca="false">IF(OR(P99="",O99=""),"",(P99-O99)/O99)</f>
        <v/>
      </c>
      <c r="T99" s="9" t="str">
        <f aca="false">IF(AND(D99="",G99&lt;&gt;""),"no dates - assumed 1 night",IF(Q99="","",IF(Q99&gt;1.5,"check: markup &gt;150%",IF(Q99&lt;0,"below cost",""))))</f>
        <v/>
      </c>
    </row>
    <row r="100" customFormat="false" ht="15" hidden="false" customHeight="false" outlineLevel="0" collapsed="false">
      <c r="A100" s="9" t="s">
        <v>10</v>
      </c>
      <c r="B100" s="9" t="s">
        <v>124</v>
      </c>
      <c r="C100" s="9" t="s">
        <v>41</v>
      </c>
      <c r="D100" s="10" t="s">
        <v>88</v>
      </c>
      <c r="E100" s="10" t="s">
        <v>43</v>
      </c>
      <c r="F100" s="9" t="n">
        <f aca="false">IF(OR(D100="",E100=""),1,MAX(1,DATEVALUE(E100)-DATEVALUE(D100)))</f>
        <v>2</v>
      </c>
      <c r="G100" s="11" t="n">
        <v>41771</v>
      </c>
      <c r="H100" s="11" t="n">
        <v>34641</v>
      </c>
      <c r="I100" s="11"/>
      <c r="J100" s="11"/>
      <c r="K100" s="11"/>
      <c r="L100" s="12"/>
      <c r="M100" s="13"/>
      <c r="N100" s="14" t="n">
        <f aca="false">IF(G100="","",G100/F100)</f>
        <v>20885.5</v>
      </c>
      <c r="O100" s="14" t="n">
        <f aca="false">IF(COUNT(H100:K100)=0,"",MIN(H100:K100)/F100)</f>
        <v>17320.5</v>
      </c>
      <c r="P100" s="14" t="str">
        <f aca="false">IF(L100="","",L100*95/F100)</f>
        <v/>
      </c>
      <c r="Q100" s="15" t="n">
        <f aca="false">IF(OR(N100="",O100=""),"",(IF(AND(N100&gt;7500,O100&gt;7500),O100/(1+IF(O100&lt;=1000,0,IF(O100&lt;=7500,0.05,0.18)))-IF(AND(N100&gt;7500,O100&gt;7500),N100/1.18,N100),(O100-IF(AND(N100&gt;7500,O100&gt;7500),N100/1.18,N100))/(1+IF(O100&lt;=1000,0,IF(O100&lt;=7500,0.05,0.18)))))/(IF(AND(N100&gt;7500,O100&gt;7500),N100/1.18,N100)))</f>
        <v>-0.170692585765244</v>
      </c>
      <c r="R100" s="15" t="n">
        <f aca="false">IF(OR(N100="",O100=""),"",((O100-N100)/1.18)/N100)</f>
        <v>-0.144654733699359</v>
      </c>
      <c r="S100" s="15" t="str">
        <f aca="false">IF(OR(P100="",O100=""),"",(P100-O100)/O100)</f>
        <v/>
      </c>
      <c r="T100" s="9" t="str">
        <f aca="false">IF(AND(D100="",G100&lt;&gt;""),"no dates - assumed 1 night",IF(Q100="","",IF(Q100&gt;1.5,"check: markup &gt;150%",IF(Q100&lt;0,"below cost",""))))</f>
        <v>below cost</v>
      </c>
    </row>
    <row r="101" customFormat="false" ht="15" hidden="false" customHeight="false" outlineLevel="0" collapsed="false">
      <c r="A101" s="9" t="s">
        <v>10</v>
      </c>
      <c r="B101" s="9" t="s">
        <v>124</v>
      </c>
      <c r="C101" s="9" t="s">
        <v>44</v>
      </c>
      <c r="D101" s="10" t="s">
        <v>45</v>
      </c>
      <c r="E101" s="10" t="s">
        <v>89</v>
      </c>
      <c r="F101" s="9" t="n">
        <f aca="false">IF(OR(D101="",E101=""),1,MAX(1,DATEVALUE(E101)-DATEVALUE(D101)))</f>
        <v>2</v>
      </c>
      <c r="G101" s="11" t="n">
        <v>30898</v>
      </c>
      <c r="H101" s="11" t="n">
        <v>30931</v>
      </c>
      <c r="I101" s="11"/>
      <c r="J101" s="11"/>
      <c r="K101" s="11"/>
      <c r="L101" s="12"/>
      <c r="M101" s="13"/>
      <c r="N101" s="14" t="n">
        <f aca="false">IF(G101="","",G101/F101)</f>
        <v>15449</v>
      </c>
      <c r="O101" s="14" t="n">
        <f aca="false">IF(COUNT(H101:K101)=0,"",MIN(H101:K101)/F101)</f>
        <v>15465.5</v>
      </c>
      <c r="P101" s="14" t="str">
        <f aca="false">IF(L101="","",L101*95/F101)</f>
        <v/>
      </c>
      <c r="Q101" s="15" t="n">
        <f aca="false">IF(OR(N101="",O101=""),"",(IF(AND(N101&gt;7500,O101&gt;7500),O101/(1+IF(O101&lt;=1000,0,IF(O101&lt;=7500,0.05,0.18)))-IF(AND(N101&gt;7500,O101&gt;7500),N101/1.18,N101),(O101-IF(AND(N101&gt;7500,O101&gt;7500),N101/1.18,N101))/(1+IF(O101&lt;=1000,0,IF(O101&lt;=7500,0.05,0.18)))))/(IF(AND(N101&gt;7500,O101&gt;7500),N101/1.18,N101)))</f>
        <v>0.00106803029322281</v>
      </c>
      <c r="R101" s="15" t="n">
        <f aca="false">IF(OR(N101="",O101=""),"",((O101-N101)/1.18)/N101)</f>
        <v>0.000905110417985477</v>
      </c>
      <c r="S101" s="15" t="str">
        <f aca="false">IF(OR(P101="",O101=""),"",(P101-O101)/O101)</f>
        <v/>
      </c>
      <c r="T101" s="9" t="str">
        <f aca="false">IF(AND(D101="",G101&lt;&gt;""),"no dates - assumed 1 night",IF(Q101="","",IF(Q101&gt;1.5,"check: markup &gt;150%",IF(Q101&lt;0,"below cost",""))))</f>
        <v/>
      </c>
    </row>
    <row r="102" customFormat="false" ht="15" hidden="false" customHeight="false" outlineLevel="0" collapsed="false">
      <c r="A102" s="9" t="s">
        <v>10</v>
      </c>
      <c r="B102" s="9" t="s">
        <v>124</v>
      </c>
      <c r="C102" s="9" t="s">
        <v>50</v>
      </c>
      <c r="D102" s="10" t="s">
        <v>92</v>
      </c>
      <c r="E102" s="10" t="s">
        <v>93</v>
      </c>
      <c r="F102" s="9" t="n">
        <f aca="false">IF(OR(D102="",E102=""),1,MAX(1,DATEVALUE(E102)-DATEVALUE(D102)))</f>
        <v>1</v>
      </c>
      <c r="G102" s="11" t="n">
        <v>16021</v>
      </c>
      <c r="H102" s="11" t="n">
        <v>15834</v>
      </c>
      <c r="I102" s="11"/>
      <c r="J102" s="11"/>
      <c r="K102" s="11"/>
      <c r="L102" s="12"/>
      <c r="M102" s="13"/>
      <c r="N102" s="14" t="n">
        <f aca="false">IF(G102="","",G102/F102)</f>
        <v>16021</v>
      </c>
      <c r="O102" s="14" t="n">
        <f aca="false">IF(COUNT(H102:K102)=0,"",MIN(H102:K102)/F102)</f>
        <v>15834</v>
      </c>
      <c r="P102" s="14" t="str">
        <f aca="false">IF(L102="","",L102*95/F102)</f>
        <v/>
      </c>
      <c r="Q102" s="15" t="n">
        <f aca="false">IF(OR(N102="",O102=""),"",(IF(AND(N102&gt;7500,O102&gt;7500),O102/(1+IF(O102&lt;=1000,0,IF(O102&lt;=7500,0.05,0.18)))-IF(AND(N102&gt;7500,O102&gt;7500),N102/1.18,N102),(O102-IF(AND(N102&gt;7500,O102&gt;7500),N102/1.18,N102))/(1+IF(O102&lt;=1000,0,IF(O102&lt;=7500,0.05,0.18)))))/(IF(AND(N102&gt;7500,O102&gt;7500),N102/1.18,N102)))</f>
        <v>-0.0116721802634043</v>
      </c>
      <c r="R102" s="15" t="n">
        <f aca="false">IF(OR(N102="",O102=""),"",((O102-N102)/1.18)/N102)</f>
        <v>-0.00989167818932566</v>
      </c>
      <c r="S102" s="15" t="str">
        <f aca="false">IF(OR(P102="",O102=""),"",(P102-O102)/O102)</f>
        <v/>
      </c>
      <c r="T102" s="9" t="str">
        <f aca="false">IF(AND(D102="",G102&lt;&gt;""),"no dates - assumed 1 night",IF(Q102="","",IF(Q102&gt;1.5,"check: markup &gt;150%",IF(Q102&lt;0,"below cost",""))))</f>
        <v>below cost</v>
      </c>
    </row>
    <row r="103" customFormat="false" ht="15" hidden="false" customHeight="false" outlineLevel="0" collapsed="false">
      <c r="A103" s="9" t="s">
        <v>10</v>
      </c>
      <c r="B103" s="9" t="s">
        <v>124</v>
      </c>
      <c r="C103" s="9" t="s">
        <v>54</v>
      </c>
      <c r="D103" s="10" t="s">
        <v>95</v>
      </c>
      <c r="E103" s="10" t="s">
        <v>96</v>
      </c>
      <c r="F103" s="9" t="n">
        <f aca="false">IF(OR(D103="",E103=""),1,MAX(1,DATEVALUE(E103)-DATEVALUE(D103)))</f>
        <v>2</v>
      </c>
      <c r="G103" s="11" t="n">
        <v>32041</v>
      </c>
      <c r="H103" s="11" t="n">
        <v>32362</v>
      </c>
      <c r="I103" s="11"/>
      <c r="J103" s="11"/>
      <c r="K103" s="11"/>
      <c r="L103" s="12"/>
      <c r="M103" s="13"/>
      <c r="N103" s="14" t="n">
        <f aca="false">IF(G103="","",G103/F103)</f>
        <v>16020.5</v>
      </c>
      <c r="O103" s="14" t="n">
        <f aca="false">IF(COUNT(H103:K103)=0,"",MIN(H103:K103)/F103)</f>
        <v>16181</v>
      </c>
      <c r="P103" s="14" t="str">
        <f aca="false">IF(L103="","",L103*95/F103)</f>
        <v/>
      </c>
      <c r="Q103" s="15" t="n">
        <f aca="false">IF(OR(N103="",O103=""),"",(IF(AND(N103&gt;7500,O103&gt;7500),O103/(1+IF(O103&lt;=1000,0,IF(O103&lt;=7500,0.05,0.18)))-IF(AND(N103&gt;7500,O103&gt;7500),N103/1.18,N103),(O103-IF(AND(N103&gt;7500,O103&gt;7500),N103/1.18,N103))/(1+IF(O103&lt;=1000,0,IF(O103&lt;=7500,0.05,0.18)))))/(IF(AND(N103&gt;7500,O103&gt;7500),N103/1.18,N103)))</f>
        <v>0.0100184139071813</v>
      </c>
      <c r="R103" s="15" t="n">
        <f aca="false">IF(OR(N103="",O103=""),"",((O103-N103)/1.18)/N103)</f>
        <v>0.00849018127727239</v>
      </c>
      <c r="S103" s="15" t="str">
        <f aca="false">IF(OR(P103="",O103=""),"",(P103-O103)/O103)</f>
        <v/>
      </c>
      <c r="T103" s="9" t="str">
        <f aca="false">IF(AND(D103="",G103&lt;&gt;""),"no dates - assumed 1 night",IF(Q103="","",IF(Q103&gt;1.5,"check: markup &gt;150%",IF(Q103&lt;0,"below cost",""))))</f>
        <v/>
      </c>
    </row>
    <row r="104" customFormat="false" ht="15" hidden="false" customHeight="false" outlineLevel="0" collapsed="false">
      <c r="A104" s="9" t="s">
        <v>10</v>
      </c>
      <c r="B104" s="9" t="s">
        <v>125</v>
      </c>
      <c r="C104" s="9" t="s">
        <v>41</v>
      </c>
      <c r="D104" s="10" t="s">
        <v>88</v>
      </c>
      <c r="E104" s="10" t="s">
        <v>43</v>
      </c>
      <c r="F104" s="9" t="n">
        <f aca="false">IF(OR(D104="",E104=""),1,MAX(1,DATEVALUE(E104)-DATEVALUE(D104)))</f>
        <v>2</v>
      </c>
      <c r="G104" s="11" t="n">
        <v>48017</v>
      </c>
      <c r="H104" s="11" t="n">
        <v>51770</v>
      </c>
      <c r="I104" s="11"/>
      <c r="J104" s="11"/>
      <c r="K104" s="11"/>
      <c r="L104" s="12"/>
      <c r="M104" s="13"/>
      <c r="N104" s="14" t="n">
        <f aca="false">IF(G104="","",G104/F104)</f>
        <v>24008.5</v>
      </c>
      <c r="O104" s="14" t="n">
        <f aca="false">IF(COUNT(H104:K104)=0,"",MIN(H104:K104)/F104)</f>
        <v>25885</v>
      </c>
      <c r="P104" s="14" t="str">
        <f aca="false">IF(L104="","",L104*95/F104)</f>
        <v/>
      </c>
      <c r="Q104" s="15" t="n">
        <f aca="false">IF(OR(N104="",O104=""),"",(IF(AND(N104&gt;7500,O104&gt;7500),O104/(1+IF(O104&lt;=1000,0,IF(O104&lt;=7500,0.05,0.18)))-IF(AND(N104&gt;7500,O104&gt;7500),N104/1.18,N104),(O104-IF(AND(N104&gt;7500,O104&gt;7500),N104/1.18,N104))/(1+IF(O104&lt;=1000,0,IF(O104&lt;=7500,0.05,0.18)))))/(IF(AND(N104&gt;7500,O104&gt;7500),N104/1.18,N104)))</f>
        <v>0.0781598183976509</v>
      </c>
      <c r="R104" s="15" t="n">
        <f aca="false">IF(OR(N104="",O104=""),"",((O104-N104)/1.18)/N104)</f>
        <v>0.0662371342352973</v>
      </c>
      <c r="S104" s="15" t="str">
        <f aca="false">IF(OR(P104="",O104=""),"",(P104-O104)/O104)</f>
        <v/>
      </c>
      <c r="T104" s="9" t="str">
        <f aca="false">IF(AND(D104="",G104&lt;&gt;""),"no dates - assumed 1 night",IF(Q104="","",IF(Q104&gt;1.5,"check: markup &gt;150%",IF(Q104&lt;0,"below cost",""))))</f>
        <v/>
      </c>
    </row>
    <row r="105" customFormat="false" ht="15" hidden="false" customHeight="false" outlineLevel="0" collapsed="false">
      <c r="A105" s="9" t="s">
        <v>10</v>
      </c>
      <c r="B105" s="9" t="s">
        <v>125</v>
      </c>
      <c r="C105" s="9" t="s">
        <v>44</v>
      </c>
      <c r="D105" s="10" t="s">
        <v>45</v>
      </c>
      <c r="E105" s="10" t="s">
        <v>89</v>
      </c>
      <c r="F105" s="9" t="n">
        <f aca="false">IF(OR(D105="",E105=""),1,MAX(1,DATEVALUE(E105)-DATEVALUE(D105)))</f>
        <v>2</v>
      </c>
      <c r="G105" s="11" t="n">
        <v>42435</v>
      </c>
      <c r="H105" s="11" t="n">
        <v>47964</v>
      </c>
      <c r="I105" s="11"/>
      <c r="J105" s="11"/>
      <c r="K105" s="11"/>
      <c r="L105" s="12"/>
      <c r="M105" s="13"/>
      <c r="N105" s="14" t="n">
        <f aca="false">IF(G105="","",G105/F105)</f>
        <v>21217.5</v>
      </c>
      <c r="O105" s="14" t="n">
        <f aca="false">IF(COUNT(H105:K105)=0,"",MIN(H105:K105)/F105)</f>
        <v>23982</v>
      </c>
      <c r="P105" s="14" t="str">
        <f aca="false">IF(L105="","",L105*95/F105)</f>
        <v/>
      </c>
      <c r="Q105" s="15" t="n">
        <f aca="false">IF(OR(N105="",O105=""),"",(IF(AND(N105&gt;7500,O105&gt;7500),O105/(1+IF(O105&lt;=1000,0,IF(O105&lt;=7500,0.05,0.18)))-IF(AND(N105&gt;7500,O105&gt;7500),N105/1.18,N105),(O105-IF(AND(N105&gt;7500,O105&gt;7500),N105/1.18,N105))/(1+IF(O105&lt;=1000,0,IF(O105&lt;=7500,0.05,0.18)))))/(IF(AND(N105&gt;7500,O105&gt;7500),N105/1.18,N105)))</f>
        <v>0.130293389890421</v>
      </c>
      <c r="R105" s="15" t="n">
        <f aca="false">IF(OR(N105="",O105=""),"",((O105-N105)/1.18)/N105)</f>
        <v>0.11041812702578</v>
      </c>
      <c r="S105" s="15" t="str">
        <f aca="false">IF(OR(P105="",O105=""),"",(P105-O105)/O105)</f>
        <v/>
      </c>
      <c r="T105" s="9" t="str">
        <f aca="false">IF(AND(D105="",G105&lt;&gt;""),"no dates - assumed 1 night",IF(Q105="","",IF(Q105&gt;1.5,"check: markup &gt;150%",IF(Q105&lt;0,"below cost",""))))</f>
        <v/>
      </c>
    </row>
    <row r="106" customFormat="false" ht="15" hidden="false" customHeight="false" outlineLevel="0" collapsed="false">
      <c r="A106" s="9" t="s">
        <v>10</v>
      </c>
      <c r="B106" s="9" t="s">
        <v>125</v>
      </c>
      <c r="C106" s="9" t="s">
        <v>47</v>
      </c>
      <c r="D106" s="10" t="s">
        <v>90</v>
      </c>
      <c r="E106" s="10" t="s">
        <v>91</v>
      </c>
      <c r="F106" s="9" t="n">
        <f aca="false">IF(OR(D106="",E106=""),1,MAX(1,DATEVALUE(E106)-DATEVALUE(D106)))</f>
        <v>1</v>
      </c>
      <c r="G106" s="11" t="n">
        <v>22439</v>
      </c>
      <c r="H106" s="11" t="n">
        <v>24172</v>
      </c>
      <c r="I106" s="11"/>
      <c r="J106" s="11"/>
      <c r="K106" s="11"/>
      <c r="L106" s="12"/>
      <c r="M106" s="13"/>
      <c r="N106" s="14" t="n">
        <f aca="false">IF(G106="","",G106/F106)</f>
        <v>22439</v>
      </c>
      <c r="O106" s="14" t="n">
        <f aca="false">IF(COUNT(H106:K106)=0,"",MIN(H106:K106)/F106)</f>
        <v>24172</v>
      </c>
      <c r="P106" s="14" t="str">
        <f aca="false">IF(L106="","",L106*95/F106)</f>
        <v/>
      </c>
      <c r="Q106" s="15" t="n">
        <f aca="false">IF(OR(N106="",O106=""),"",(IF(AND(N106&gt;7500,O106&gt;7500),O106/(1+IF(O106&lt;=1000,0,IF(O106&lt;=7500,0.05,0.18)))-IF(AND(N106&gt;7500,O106&gt;7500),N106/1.18,N106),(O106-IF(AND(N106&gt;7500,O106&gt;7500),N106/1.18,N106))/(1+IF(O106&lt;=1000,0,IF(O106&lt;=7500,0.05,0.18)))))/(IF(AND(N106&gt;7500,O106&gt;7500),N106/1.18,N106)))</f>
        <v>0.0772316056865279</v>
      </c>
      <c r="R106" s="15" t="n">
        <f aca="false">IF(OR(N106="",O106=""),"",((O106-N106)/1.18)/N106)</f>
        <v>0.0654505132936677</v>
      </c>
      <c r="S106" s="15" t="str">
        <f aca="false">IF(OR(P106="",O106=""),"",(P106-O106)/O106)</f>
        <v/>
      </c>
      <c r="T106" s="9" t="str">
        <f aca="false">IF(AND(D106="",G106&lt;&gt;""),"no dates - assumed 1 night",IF(Q106="","",IF(Q106&gt;1.5,"check: markup &gt;150%",IF(Q106&lt;0,"below cost",""))))</f>
        <v/>
      </c>
    </row>
    <row r="107" customFormat="false" ht="15" hidden="false" customHeight="false" outlineLevel="0" collapsed="false">
      <c r="A107" s="9" t="s">
        <v>10</v>
      </c>
      <c r="B107" s="9" t="s">
        <v>125</v>
      </c>
      <c r="C107" s="9" t="s">
        <v>50</v>
      </c>
      <c r="D107" s="10" t="s">
        <v>92</v>
      </c>
      <c r="E107" s="10" t="s">
        <v>93</v>
      </c>
      <c r="F107" s="9" t="n">
        <f aca="false">IF(OR(D107="",E107=""),1,MAX(1,DATEVALUE(E107)-DATEVALUE(D107)))</f>
        <v>1</v>
      </c>
      <c r="G107" s="11" t="n">
        <v>21392</v>
      </c>
      <c r="H107" s="11" t="n">
        <v>23030</v>
      </c>
      <c r="I107" s="11"/>
      <c r="J107" s="11"/>
      <c r="K107" s="11"/>
      <c r="L107" s="12"/>
      <c r="M107" s="13"/>
      <c r="N107" s="14" t="n">
        <f aca="false">IF(G107="","",G107/F107)</f>
        <v>21392</v>
      </c>
      <c r="O107" s="14" t="n">
        <f aca="false">IF(COUNT(H107:K107)=0,"",MIN(H107:K107)/F107)</f>
        <v>23030</v>
      </c>
      <c r="P107" s="14" t="str">
        <f aca="false">IF(L107="","",L107*95/F107)</f>
        <v/>
      </c>
      <c r="Q107" s="15" t="n">
        <f aca="false">IF(OR(N107="",O107=""),"",(IF(AND(N107&gt;7500,O107&gt;7500),O107/(1+IF(O107&lt;=1000,0,IF(O107&lt;=7500,0.05,0.18)))-IF(AND(N107&gt;7500,O107&gt;7500),N107/1.18,N107),(O107-IF(AND(N107&gt;7500,O107&gt;7500),N107/1.18,N107))/(1+IF(O107&lt;=1000,0,IF(O107&lt;=7500,0.05,0.18)))))/(IF(AND(N107&gt;7500,O107&gt;7500),N107/1.18,N107)))</f>
        <v>0.0765706806282721</v>
      </c>
      <c r="R107" s="15" t="n">
        <f aca="false">IF(OR(N107="",O107=""),"",((O107-N107)/1.18)/N107)</f>
        <v>0.0648904073120951</v>
      </c>
      <c r="S107" s="15" t="str">
        <f aca="false">IF(OR(P107="",O107=""),"",(P107-O107)/O107)</f>
        <v/>
      </c>
      <c r="T107" s="9" t="str">
        <f aca="false">IF(AND(D107="",G107&lt;&gt;""),"no dates - assumed 1 night",IF(Q107="","",IF(Q107&gt;1.5,"check: markup &gt;150%",IF(Q107&lt;0,"below cost",""))))</f>
        <v/>
      </c>
    </row>
    <row r="109" customFormat="false" ht="15" hidden="false" customHeight="false" outlineLevel="0" collapsed="false">
      <c r="A109" s="2" t="s">
        <v>86</v>
      </c>
    </row>
  </sheetData>
  <autoFilter ref="A1:T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11" min="7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9" min="17" style="0" width="10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8" t="s">
        <v>2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2" customFormat="false" ht="15" hidden="false" customHeight="false" outlineLevel="0" collapsed="false">
      <c r="A2" s="9" t="s">
        <v>11</v>
      </c>
      <c r="B2" s="9" t="s">
        <v>126</v>
      </c>
      <c r="C2" s="9" t="s">
        <v>41</v>
      </c>
      <c r="D2" s="10" t="s">
        <v>99</v>
      </c>
      <c r="E2" s="10" t="s">
        <v>89</v>
      </c>
      <c r="F2" s="9" t="n">
        <f aca="false">IF(OR(D2="",E2=""),1,MAX(1,DATEVALUE(E2)-DATEVALUE(D2)))</f>
        <v>3</v>
      </c>
      <c r="G2" s="11" t="n">
        <v>26211</v>
      </c>
      <c r="H2" s="11" t="n">
        <v>27345</v>
      </c>
      <c r="I2" s="11"/>
      <c r="J2" s="11"/>
      <c r="K2" s="11"/>
      <c r="L2" s="12"/>
      <c r="M2" s="13"/>
      <c r="N2" s="14" t="n">
        <f aca="false">IF(G2="","",G2/F2)</f>
        <v>8737</v>
      </c>
      <c r="O2" s="14" t="n">
        <f aca="false">IF(COUNT(H2:K2)=0,"",MIN(H2:K2)/F2)</f>
        <v>9115</v>
      </c>
      <c r="P2" s="14" t="str">
        <f aca="false">IF(L2="","",L2*95/F2)</f>
        <v/>
      </c>
      <c r="Q2" s="15" t="n">
        <f aca="false">IF(OR(N2="",O2=""),"",(IF(AND(N2&gt;7500,O2&gt;7500),O2/(1+IF(O2&lt;=1000,0,IF(O2&lt;=7500,0.05,0.18)))-IF(AND(N2&gt;7500,O2&gt;7500),N2/1.18,N2),(O2-IF(AND(N2&gt;7500,O2&gt;7500),N2/1.18,N2))/(1+IF(O2&lt;=1000,0,IF(O2&lt;=7500,0.05,0.18)))))/(IF(AND(N2&gt;7500,O2&gt;7500),N2/1.18,N2)))</f>
        <v>0.0432642783564153</v>
      </c>
      <c r="R2" s="15" t="n">
        <f aca="false">IF(OR(N2="",O2=""),"",((O2-N2)/1.18)/N2)</f>
        <v>0.0366646426749282</v>
      </c>
      <c r="S2" s="15" t="str">
        <f aca="false">IF(OR(P2="",O2=""),"",(P2-O2)/O2)</f>
        <v/>
      </c>
      <c r="T2" s="9" t="str">
        <f aca="false">IF(AND(D2="",G2&lt;&gt;""),"no dates - assumed 1 night",IF(Q2="","",IF(Q2&gt;1.5,"check: markup &gt;150%",IF(Q2&lt;0,"below cost",""))))</f>
        <v/>
      </c>
    </row>
    <row r="3" customFormat="false" ht="15" hidden="false" customHeight="false" outlineLevel="0" collapsed="false">
      <c r="A3" s="9" t="s">
        <v>11</v>
      </c>
      <c r="B3" s="9" t="s">
        <v>126</v>
      </c>
      <c r="C3" s="9" t="s">
        <v>44</v>
      </c>
      <c r="D3" s="10" t="s">
        <v>103</v>
      </c>
      <c r="E3" s="10" t="s">
        <v>104</v>
      </c>
      <c r="F3" s="9" t="n">
        <f aca="false">IF(OR(D3="",E3=""),1,MAX(1,DATEVALUE(E3)-DATEVALUE(D3)))</f>
        <v>3</v>
      </c>
      <c r="G3" s="11" t="n">
        <v>26776</v>
      </c>
      <c r="H3" s="11" t="n">
        <v>27935</v>
      </c>
      <c r="I3" s="11"/>
      <c r="J3" s="11"/>
      <c r="K3" s="11"/>
      <c r="L3" s="12"/>
      <c r="M3" s="13"/>
      <c r="N3" s="14" t="n">
        <f aca="false">IF(G3="","",G3/F3)</f>
        <v>8925.33333333333</v>
      </c>
      <c r="O3" s="14" t="n">
        <f aca="false">IF(COUNT(H3:K3)=0,"",MIN(H3:K3)/F3)</f>
        <v>9311.66666666667</v>
      </c>
      <c r="P3" s="14" t="str">
        <f aca="false">IF(L3="","",L3*95/F3)</f>
        <v/>
      </c>
      <c r="Q3" s="15" t="n">
        <f aca="false">IF(OR(N3="",O3=""),"",(IF(AND(N3&gt;7500,O3&gt;7500),O3/(1+IF(O3&lt;=1000,0,IF(O3&lt;=7500,0.05,0.18)))-IF(AND(N3&gt;7500,O3&gt;7500),N3/1.18,N3),(O3-IF(AND(N3&gt;7500,O3&gt;7500),N3/1.18,N3))/(1+IF(O3&lt;=1000,0,IF(O3&lt;=7500,0.05,0.18)))))/(IF(AND(N3&gt;7500,O3&gt;7500),N3/1.18,N3)))</f>
        <v>0.0432850313713772</v>
      </c>
      <c r="R3" s="15" t="n">
        <f aca="false">IF(OR(N3="",O3=""),"",((O3-N3)/1.18)/N3)</f>
        <v>0.0366822299757434</v>
      </c>
      <c r="S3" s="15" t="str">
        <f aca="false">IF(OR(P3="",O3=""),"",(P3-O3)/O3)</f>
        <v/>
      </c>
      <c r="T3" s="9" t="str">
        <f aca="false">IF(AND(D3="",G3&lt;&gt;""),"no dates - assumed 1 night",IF(Q3="","",IF(Q3&gt;1.5,"check: markup &gt;150%",IF(Q3&lt;0,"below cost",""))))</f>
        <v/>
      </c>
    </row>
    <row r="4" customFormat="false" ht="15" hidden="false" customHeight="false" outlineLevel="0" collapsed="false">
      <c r="A4" s="9" t="s">
        <v>11</v>
      </c>
      <c r="B4" s="9" t="s">
        <v>126</v>
      </c>
      <c r="C4" s="9" t="s">
        <v>47</v>
      </c>
      <c r="D4" s="10" t="s">
        <v>127</v>
      </c>
      <c r="E4" s="10" t="s">
        <v>128</v>
      </c>
      <c r="F4" s="9" t="n">
        <f aca="false">IF(OR(D4="",E4=""),1,MAX(1,DATEVALUE(E4)-DATEVALUE(D4)))</f>
        <v>3</v>
      </c>
      <c r="G4" s="11" t="n">
        <v>33874</v>
      </c>
      <c r="H4" s="11" t="n">
        <v>35518</v>
      </c>
      <c r="I4" s="11"/>
      <c r="J4" s="11"/>
      <c r="K4" s="11"/>
      <c r="L4" s="12"/>
      <c r="M4" s="13"/>
      <c r="N4" s="14" t="n">
        <f aca="false">IF(G4="","",G4/F4)</f>
        <v>11291.3333333333</v>
      </c>
      <c r="O4" s="14" t="n">
        <f aca="false">IF(COUNT(H4:K4)=0,"",MIN(H4:K4)/F4)</f>
        <v>11839.3333333333</v>
      </c>
      <c r="P4" s="14" t="str">
        <f aca="false">IF(L4="","",L4*95/F4)</f>
        <v/>
      </c>
      <c r="Q4" s="15" t="n">
        <f aca="false">IF(OR(N4="",O4=""),"",(IF(AND(N4&gt;7500,O4&gt;7500),O4/(1+IF(O4&lt;=1000,0,IF(O4&lt;=7500,0.05,0.18)))-IF(AND(N4&gt;7500,O4&gt;7500),N4/1.18,N4),(O4-IF(AND(N4&gt;7500,O4&gt;7500),N4/1.18,N4))/(1+IF(O4&lt;=1000,0,IF(O4&lt;=7500,0.05,0.18)))))/(IF(AND(N4&gt;7500,O4&gt;7500),N4/1.18,N4)))</f>
        <v>0.0485327980161775</v>
      </c>
      <c r="R4" s="15" t="n">
        <f aca="false">IF(OR(N4="",O4=""),"",((O4-N4)/1.18)/N4)</f>
        <v>0.0411294898442183</v>
      </c>
      <c r="S4" s="15" t="str">
        <f aca="false">IF(OR(P4="",O4=""),"",(P4-O4)/O4)</f>
        <v/>
      </c>
      <c r="T4" s="9" t="str">
        <f aca="false">IF(AND(D4="",G4&lt;&gt;""),"no dates - assumed 1 night",IF(Q4="","",IF(Q4&gt;1.5,"check: markup &gt;150%",IF(Q4&lt;0,"below cost",""))))</f>
        <v/>
      </c>
    </row>
    <row r="5" customFormat="false" ht="15" hidden="false" customHeight="false" outlineLevel="0" collapsed="false">
      <c r="A5" s="9" t="s">
        <v>11</v>
      </c>
      <c r="B5" s="9" t="s">
        <v>126</v>
      </c>
      <c r="C5" s="9" t="s">
        <v>50</v>
      </c>
      <c r="D5" s="10" t="s">
        <v>48</v>
      </c>
      <c r="E5" s="10" t="s">
        <v>49</v>
      </c>
      <c r="F5" s="9" t="n">
        <f aca="false">IF(OR(D5="",E5=""),1,MAX(1,DATEVALUE(E5)-DATEVALUE(D5)))</f>
        <v>3</v>
      </c>
      <c r="G5" s="11" t="n">
        <v>52522</v>
      </c>
      <c r="H5" s="11" t="n">
        <v>54870</v>
      </c>
      <c r="I5" s="11"/>
      <c r="J5" s="11"/>
      <c r="K5" s="11"/>
      <c r="L5" s="12"/>
      <c r="M5" s="13"/>
      <c r="N5" s="14" t="n">
        <f aca="false">IF(G5="","",G5/F5)</f>
        <v>17507.3333333333</v>
      </c>
      <c r="O5" s="14" t="n">
        <f aca="false">IF(COUNT(H5:K5)=0,"",MIN(H5:K5)/F5)</f>
        <v>18290</v>
      </c>
      <c r="P5" s="14" t="str">
        <f aca="false">IF(L5="","",L5*95/F5)</f>
        <v/>
      </c>
      <c r="Q5" s="15" t="n">
        <f aca="false">IF(OR(N5="",O5=""),"",(IF(AND(N5&gt;7500,O5&gt;7500),O5/(1+IF(O5&lt;=1000,0,IF(O5&lt;=7500,0.05,0.18)))-IF(AND(N5&gt;7500,O5&gt;7500),N5/1.18,N5),(O5-IF(AND(N5&gt;7500,O5&gt;7500),N5/1.18,N5))/(1+IF(O5&lt;=1000,0,IF(O5&lt;=7500,0.05,0.18)))))/(IF(AND(N5&gt;7500,O5&gt;7500),N5/1.18,N5)))</f>
        <v>0.0447050759681658</v>
      </c>
      <c r="R5" s="15" t="n">
        <f aca="false">IF(OR(N5="",O5=""),"",((O5-N5)/1.18)/N5)</f>
        <v>0.0378856576001405</v>
      </c>
      <c r="S5" s="15" t="str">
        <f aca="false">IF(OR(P5="",O5=""),"",(P5-O5)/O5)</f>
        <v/>
      </c>
      <c r="T5" s="9" t="str">
        <f aca="false">IF(AND(D5="",G5&lt;&gt;""),"no dates - assumed 1 night",IF(Q5="","",IF(Q5&gt;1.5,"check: markup &gt;150%",IF(Q5&lt;0,"below cost",""))))</f>
        <v/>
      </c>
    </row>
    <row r="6" customFormat="false" ht="15" hidden="false" customHeight="false" outlineLevel="0" collapsed="false">
      <c r="A6" s="9" t="s">
        <v>11</v>
      </c>
      <c r="B6" s="9" t="s">
        <v>126</v>
      </c>
      <c r="C6" s="9" t="s">
        <v>54</v>
      </c>
      <c r="D6" s="10" t="s">
        <v>129</v>
      </c>
      <c r="E6" s="10" t="s">
        <v>130</v>
      </c>
      <c r="F6" s="9" t="n">
        <f aca="false">IF(OR(D6="",E6=""),1,MAX(1,DATEVALUE(E6)-DATEVALUE(D6)))</f>
        <v>3</v>
      </c>
      <c r="G6" s="11" t="n">
        <v>56305</v>
      </c>
      <c r="H6" s="11" t="n">
        <v>58410</v>
      </c>
      <c r="I6" s="11"/>
      <c r="J6" s="11"/>
      <c r="K6" s="11"/>
      <c r="L6" s="12"/>
      <c r="M6" s="13"/>
      <c r="N6" s="14" t="n">
        <f aca="false">IF(G6="","",G6/F6)</f>
        <v>18768.3333333333</v>
      </c>
      <c r="O6" s="14" t="n">
        <f aca="false">IF(COUNT(H6:K6)=0,"",MIN(H6:K6)/F6)</f>
        <v>19470</v>
      </c>
      <c r="P6" s="14" t="str">
        <f aca="false">IF(L6="","",L6*95/F6)</f>
        <v/>
      </c>
      <c r="Q6" s="15" t="n">
        <f aca="false">IF(OR(N6="",O6=""),"",(IF(AND(N6&gt;7500,O6&gt;7500),O6/(1+IF(O6&lt;=1000,0,IF(O6&lt;=7500,0.05,0.18)))-IF(AND(N6&gt;7500,O6&gt;7500),N6/1.18,N6),(O6-IF(AND(N6&gt;7500,O6&gt;7500),N6/1.18,N6))/(1+IF(O6&lt;=1000,0,IF(O6&lt;=7500,0.05,0.18)))))/(IF(AND(N6&gt;7500,O6&gt;7500),N6/1.18,N6)))</f>
        <v>0.0373856673474825</v>
      </c>
      <c r="R6" s="15" t="n">
        <f aca="false">IF(OR(N6="",O6=""),"",((O6-N6)/1.18)/N6)</f>
        <v>0.0316827689385445</v>
      </c>
      <c r="S6" s="15" t="str">
        <f aca="false">IF(OR(P6="",O6=""),"",(P6-O6)/O6)</f>
        <v/>
      </c>
      <c r="T6" s="9" t="str">
        <f aca="false">IF(AND(D6="",G6&lt;&gt;""),"no dates - assumed 1 night",IF(Q6="","",IF(Q6&gt;1.5,"check: markup &gt;150%",IF(Q6&lt;0,"below cost",""))))</f>
        <v/>
      </c>
    </row>
    <row r="7" customFormat="false" ht="15" hidden="false" customHeight="false" outlineLevel="0" collapsed="false">
      <c r="A7" s="9" t="s">
        <v>11</v>
      </c>
      <c r="B7" s="9" t="s">
        <v>131</v>
      </c>
      <c r="C7" s="9" t="s">
        <v>41</v>
      </c>
      <c r="D7" s="10" t="s">
        <v>99</v>
      </c>
      <c r="E7" s="10" t="s">
        <v>89</v>
      </c>
      <c r="F7" s="9" t="n">
        <f aca="false">IF(OR(D7="",E7=""),1,MAX(1,DATEVALUE(E7)-DATEVALUE(D7)))</f>
        <v>3</v>
      </c>
      <c r="G7" s="11" t="n">
        <v>30021</v>
      </c>
      <c r="H7" s="11" t="n">
        <v>35021</v>
      </c>
      <c r="I7" s="11"/>
      <c r="J7" s="11"/>
      <c r="K7" s="11"/>
      <c r="L7" s="12"/>
      <c r="M7" s="13"/>
      <c r="N7" s="14" t="n">
        <f aca="false">IF(G7="","",G7/F7)</f>
        <v>10007</v>
      </c>
      <c r="O7" s="14" t="n">
        <f aca="false">IF(COUNT(H7:K7)=0,"",MIN(H7:K7)/F7)</f>
        <v>11673.6666666667</v>
      </c>
      <c r="P7" s="14" t="str">
        <f aca="false">IF(L7="","",L7*95/F7)</f>
        <v/>
      </c>
      <c r="Q7" s="15" t="n">
        <f aca="false">IF(OR(N7="",O7=""),"",(IF(AND(N7&gt;7500,O7&gt;7500),O7/(1+IF(O7&lt;=1000,0,IF(O7&lt;=7500,0.05,0.18)))-IF(AND(N7&gt;7500,O7&gt;7500),N7/1.18,N7),(O7-IF(AND(N7&gt;7500,O7&gt;7500),N7/1.18,N7))/(1+IF(O7&lt;=1000,0,IF(O7&lt;=7500,0.05,0.18)))))/(IF(AND(N7&gt;7500,O7&gt;7500),N7/1.18,N7)))</f>
        <v>0.16655008160954</v>
      </c>
      <c r="R7" s="15" t="n">
        <f aca="false">IF(OR(N7="",O7=""),"",((O7-N7)/1.18)/N7)</f>
        <v>0.141144136957237</v>
      </c>
      <c r="S7" s="15" t="str">
        <f aca="false">IF(OR(P7="",O7=""),"",(P7-O7)/O7)</f>
        <v/>
      </c>
      <c r="T7" s="9" t="str">
        <f aca="false">IF(AND(D7="",G7&lt;&gt;""),"no dates - assumed 1 night",IF(Q7="","",IF(Q7&gt;1.5,"check: markup &gt;150%",IF(Q7&lt;0,"below cost",""))))</f>
        <v/>
      </c>
    </row>
    <row r="8" customFormat="false" ht="15" hidden="false" customHeight="false" outlineLevel="0" collapsed="false">
      <c r="A8" s="9" t="s">
        <v>11</v>
      </c>
      <c r="B8" s="9" t="s">
        <v>131</v>
      </c>
      <c r="C8" s="9" t="s">
        <v>44</v>
      </c>
      <c r="D8" s="10" t="s">
        <v>103</v>
      </c>
      <c r="E8" s="10" t="s">
        <v>104</v>
      </c>
      <c r="F8" s="9" t="n">
        <f aca="false">IF(OR(D8="",E8=""),1,MAX(1,DATEVALUE(E8)-DATEVALUE(D8)))</f>
        <v>3</v>
      </c>
      <c r="G8" s="11" t="n">
        <v>29576</v>
      </c>
      <c r="H8" s="11" t="n">
        <v>34502</v>
      </c>
      <c r="I8" s="11"/>
      <c r="J8" s="11"/>
      <c r="K8" s="11"/>
      <c r="L8" s="12"/>
      <c r="M8" s="13"/>
      <c r="N8" s="14" t="n">
        <f aca="false">IF(G8="","",G8/F8)</f>
        <v>9858.66666666667</v>
      </c>
      <c r="O8" s="14" t="n">
        <f aca="false">IF(COUNT(H8:K8)=0,"",MIN(H8:K8)/F8)</f>
        <v>11500.6666666667</v>
      </c>
      <c r="P8" s="14" t="str">
        <f aca="false">IF(L8="","",L8*95/F8)</f>
        <v/>
      </c>
      <c r="Q8" s="15" t="n">
        <f aca="false">IF(OR(N8="",O8=""),"",(IF(AND(N8&gt;7500,O8&gt;7500),O8/(1+IF(O8&lt;=1000,0,IF(O8&lt;=7500,0.05,0.18)))-IF(AND(N8&gt;7500,O8&gt;7500),N8/1.18,N8),(O8-IF(AND(N8&gt;7500,O8&gt;7500),N8/1.18,N8))/(1+IF(O8&lt;=1000,0,IF(O8&lt;=7500,0.05,0.18)))))/(IF(AND(N8&gt;7500,O8&gt;7500),N8/1.18,N8)))</f>
        <v>0.166553962672437</v>
      </c>
      <c r="R8" s="15" t="n">
        <f aca="false">IF(OR(N8="",O8=""),"",((O8-N8)/1.18)/N8)</f>
        <v>0.141147425993591</v>
      </c>
      <c r="S8" s="15" t="str">
        <f aca="false">IF(OR(P8="",O8=""),"",(P8-O8)/O8)</f>
        <v/>
      </c>
      <c r="T8" s="9" t="str">
        <f aca="false">IF(AND(D8="",G8&lt;&gt;""),"no dates - assumed 1 night",IF(Q8="","",IF(Q8&gt;1.5,"check: markup &gt;150%",IF(Q8&lt;0,"below cost",""))))</f>
        <v/>
      </c>
    </row>
    <row r="9" customFormat="false" ht="15" hidden="false" customHeight="false" outlineLevel="0" collapsed="false">
      <c r="A9" s="9" t="s">
        <v>11</v>
      </c>
      <c r="B9" s="9" t="s">
        <v>131</v>
      </c>
      <c r="C9" s="9" t="s">
        <v>47</v>
      </c>
      <c r="D9" s="10" t="s">
        <v>127</v>
      </c>
      <c r="E9" s="10" t="s">
        <v>128</v>
      </c>
      <c r="F9" s="9" t="n">
        <f aca="false">IF(OR(D9="",E9=""),1,MAX(1,DATEVALUE(E9)-DATEVALUE(D9)))</f>
        <v>3</v>
      </c>
      <c r="G9" s="11" t="n">
        <v>32262</v>
      </c>
      <c r="H9" s="11" t="n">
        <v>37635</v>
      </c>
      <c r="I9" s="11"/>
      <c r="J9" s="11"/>
      <c r="K9" s="11"/>
      <c r="L9" s="12"/>
      <c r="M9" s="13"/>
      <c r="N9" s="14" t="n">
        <f aca="false">IF(G9="","",G9/F9)</f>
        <v>10754</v>
      </c>
      <c r="O9" s="14" t="n">
        <f aca="false">IF(COUNT(H9:K9)=0,"",MIN(H9:K9)/F9)</f>
        <v>12545</v>
      </c>
      <c r="P9" s="14" t="str">
        <f aca="false">IF(L9="","",L9*95/F9)</f>
        <v/>
      </c>
      <c r="Q9" s="15" t="n">
        <f aca="false">IF(OR(N9="",O9=""),"",(IF(AND(N9&gt;7500,O9&gt;7500),O9/(1+IF(O9&lt;=1000,0,IF(O9&lt;=7500,0.05,0.18)))-IF(AND(N9&gt;7500,O9&gt;7500),N9/1.18,N9),(O9-IF(AND(N9&gt;7500,O9&gt;7500),N9/1.18,N9))/(1+IF(O9&lt;=1000,0,IF(O9&lt;=7500,0.05,0.18)))))/(IF(AND(N9&gt;7500,O9&gt;7500),N9/1.18,N9)))</f>
        <v>0.166542681792821</v>
      </c>
      <c r="R9" s="15" t="n">
        <f aca="false">IF(OR(N9="",O9=""),"",((O9-N9)/1.18)/N9)</f>
        <v>0.14113786592612</v>
      </c>
      <c r="S9" s="15" t="str">
        <f aca="false">IF(OR(P9="",O9=""),"",(P9-O9)/O9)</f>
        <v/>
      </c>
      <c r="T9" s="9" t="str">
        <f aca="false">IF(AND(D9="",G9&lt;&gt;""),"no dates - assumed 1 night",IF(Q9="","",IF(Q9&gt;1.5,"check: markup &gt;150%",IF(Q9&lt;0,"below cost",""))))</f>
        <v/>
      </c>
    </row>
    <row r="10" customFormat="false" ht="15" hidden="false" customHeight="false" outlineLevel="0" collapsed="false">
      <c r="A10" s="9" t="s">
        <v>11</v>
      </c>
      <c r="B10" s="9" t="s">
        <v>131</v>
      </c>
      <c r="C10" s="9" t="s">
        <v>50</v>
      </c>
      <c r="D10" s="10" t="s">
        <v>48</v>
      </c>
      <c r="E10" s="10" t="s">
        <v>49</v>
      </c>
      <c r="F10" s="9" t="n">
        <f aca="false">IF(OR(D10="",E10=""),1,MAX(1,DATEVALUE(E10)-DATEVALUE(D10)))</f>
        <v>3</v>
      </c>
      <c r="G10" s="11" t="n">
        <v>39164</v>
      </c>
      <c r="H10" s="11" t="n">
        <v>44276</v>
      </c>
      <c r="I10" s="11"/>
      <c r="J10" s="11"/>
      <c r="K10" s="11"/>
      <c r="L10" s="12"/>
      <c r="M10" s="13"/>
      <c r="N10" s="14" t="n">
        <f aca="false">IF(G10="","",G10/F10)</f>
        <v>13054.6666666667</v>
      </c>
      <c r="O10" s="14" t="n">
        <f aca="false">IF(COUNT(H10:K10)=0,"",MIN(H10:K10)/F10)</f>
        <v>14758.6666666667</v>
      </c>
      <c r="P10" s="14" t="str">
        <f aca="false">IF(L10="","",L10*95/F10)</f>
        <v/>
      </c>
      <c r="Q10" s="15" t="n">
        <f aca="false">IF(OR(N10="",O10=""),"",(IF(AND(N10&gt;7500,O10&gt;7500),O10/(1+IF(O10&lt;=1000,0,IF(O10&lt;=7500,0.05,0.18)))-IF(AND(N10&gt;7500,O10&gt;7500),N10/1.18,N10),(O10-IF(AND(N10&gt;7500,O10&gt;7500),N10/1.18,N10))/(1+IF(O10&lt;=1000,0,IF(O10&lt;=7500,0.05,0.18)))))/(IF(AND(N10&gt;7500,O10&gt;7500),N10/1.18,N10)))</f>
        <v>0.130528035951384</v>
      </c>
      <c r="R10" s="15" t="n">
        <f aca="false">IF(OR(N10="",O10=""),"",((O10-N10)/1.18)/N10)</f>
        <v>0.110616979619817</v>
      </c>
      <c r="S10" s="15" t="str">
        <f aca="false">IF(OR(P10="",O10=""),"",(P10-O10)/O10)</f>
        <v/>
      </c>
      <c r="T10" s="9" t="str">
        <f aca="false">IF(AND(D10="",G10&lt;&gt;""),"no dates - assumed 1 night",IF(Q10="","",IF(Q10&gt;1.5,"check: markup &gt;150%",IF(Q10&lt;0,"below cost",""))))</f>
        <v/>
      </c>
    </row>
    <row r="11" customFormat="false" ht="15" hidden="false" customHeight="false" outlineLevel="0" collapsed="false">
      <c r="A11" s="9" t="s">
        <v>11</v>
      </c>
      <c r="B11" s="9" t="s">
        <v>132</v>
      </c>
      <c r="C11" s="9" t="s">
        <v>41</v>
      </c>
      <c r="D11" s="10" t="s">
        <v>99</v>
      </c>
      <c r="E11" s="10" t="s">
        <v>89</v>
      </c>
      <c r="F11" s="9" t="n">
        <f aca="false">IF(OR(D11="",E11=""),1,MAX(1,DATEVALUE(E11)-DATEVALUE(D11)))</f>
        <v>3</v>
      </c>
      <c r="G11" s="11" t="n">
        <v>28748</v>
      </c>
      <c r="H11" s="11" t="n">
        <v>34480</v>
      </c>
      <c r="I11" s="11"/>
      <c r="J11" s="11"/>
      <c r="K11" s="11"/>
      <c r="L11" s="12"/>
      <c r="M11" s="13"/>
      <c r="N11" s="14" t="n">
        <f aca="false">IF(G11="","",G11/F11)</f>
        <v>9582.66666666667</v>
      </c>
      <c r="O11" s="14" t="n">
        <f aca="false">IF(COUNT(H11:K11)=0,"",MIN(H11:K11)/F11)</f>
        <v>11493.3333333333</v>
      </c>
      <c r="P11" s="14" t="str">
        <f aca="false">IF(L11="","",L11*95/F11)</f>
        <v/>
      </c>
      <c r="Q11" s="15" t="n">
        <f aca="false">IF(OR(N11="",O11=""),"",(IF(AND(N11&gt;7500,O11&gt;7500),O11/(1+IF(O11&lt;=1000,0,IF(O11&lt;=7500,0.05,0.18)))-IF(AND(N11&gt;7500,O11&gt;7500),N11/1.18,N11),(O11-IF(AND(N11&gt;7500,O11&gt;7500),N11/1.18,N11))/(1+IF(O11&lt;=1000,0,IF(O11&lt;=7500,0.05,0.18)))))/(IF(AND(N11&gt;7500,O11&gt;7500),N11/1.18,N11)))</f>
        <v>0.199387783497983</v>
      </c>
      <c r="R11" s="15" t="n">
        <f aca="false">IF(OR(N11="",O11=""),"",((O11-N11)/1.18)/N11)</f>
        <v>0.168972697879646</v>
      </c>
      <c r="S11" s="15" t="str">
        <f aca="false">IF(OR(P11="",O11=""),"",(P11-O11)/O11)</f>
        <v/>
      </c>
      <c r="T11" s="9" t="str">
        <f aca="false">IF(AND(D11="",G11&lt;&gt;""),"no dates - assumed 1 night",IF(Q11="","",IF(Q11&gt;1.5,"check: markup &gt;150%",IF(Q11&lt;0,"below cost",""))))</f>
        <v/>
      </c>
    </row>
    <row r="12" customFormat="false" ht="15" hidden="false" customHeight="false" outlineLevel="0" collapsed="false">
      <c r="A12" s="9" t="s">
        <v>11</v>
      </c>
      <c r="B12" s="9" t="s">
        <v>132</v>
      </c>
      <c r="C12" s="9" t="s">
        <v>44</v>
      </c>
      <c r="D12" s="10" t="s">
        <v>103</v>
      </c>
      <c r="E12" s="10" t="s">
        <v>104</v>
      </c>
      <c r="F12" s="9" t="n">
        <f aca="false">IF(OR(D12="",E12=""),1,MAX(1,DATEVALUE(E12)-DATEVALUE(D12)))</f>
        <v>3</v>
      </c>
      <c r="G12" s="11" t="n">
        <v>31447</v>
      </c>
      <c r="H12" s="11" t="n">
        <v>37307</v>
      </c>
      <c r="I12" s="11"/>
      <c r="J12" s="11"/>
      <c r="K12" s="11"/>
      <c r="L12" s="12"/>
      <c r="M12" s="13"/>
      <c r="N12" s="14" t="n">
        <f aca="false">IF(G12="","",G12/F12)</f>
        <v>10482.3333333333</v>
      </c>
      <c r="O12" s="14" t="n">
        <f aca="false">IF(COUNT(H12:K12)=0,"",MIN(H12:K12)/F12)</f>
        <v>12435.6666666667</v>
      </c>
      <c r="P12" s="14" t="str">
        <f aca="false">IF(L12="","",L12*95/F12)</f>
        <v/>
      </c>
      <c r="Q12" s="15" t="n">
        <f aca="false">IF(OR(N12="",O12=""),"",(IF(AND(N12&gt;7500,O12&gt;7500),O12/(1+IF(O12&lt;=1000,0,IF(O12&lt;=7500,0.05,0.18)))-IF(AND(N12&gt;7500,O12&gt;7500),N12/1.18,N12),(O12-IF(AND(N12&gt;7500,O12&gt;7500),N12/1.18,N12))/(1+IF(O12&lt;=1000,0,IF(O12&lt;=7500,0.05,0.18)))))/(IF(AND(N12&gt;7500,O12&gt;7500),N12/1.18,N12)))</f>
        <v>0.186345279358921</v>
      </c>
      <c r="R12" s="15" t="n">
        <f aca="false">IF(OR(N12="",O12=""),"",((O12-N12)/1.18)/N12)</f>
        <v>0.157919728270272</v>
      </c>
      <c r="S12" s="15" t="str">
        <f aca="false">IF(OR(P12="",O12=""),"",(P12-O12)/O12)</f>
        <v/>
      </c>
      <c r="T12" s="9" t="str">
        <f aca="false">IF(AND(D12="",G12&lt;&gt;""),"no dates - assumed 1 night",IF(Q12="","",IF(Q12&gt;1.5,"check: markup &gt;150%",IF(Q12&lt;0,"below cost",""))))</f>
        <v/>
      </c>
    </row>
    <row r="13" customFormat="false" ht="15" hidden="false" customHeight="false" outlineLevel="0" collapsed="false">
      <c r="A13" s="9" t="s">
        <v>11</v>
      </c>
      <c r="B13" s="9" t="s">
        <v>132</v>
      </c>
      <c r="C13" s="9" t="s">
        <v>47</v>
      </c>
      <c r="D13" s="10" t="s">
        <v>127</v>
      </c>
      <c r="E13" s="10" t="s">
        <v>128</v>
      </c>
      <c r="F13" s="9" t="n">
        <f aca="false">IF(OR(D13="",E13=""),1,MAX(1,DATEVALUE(E13)-DATEVALUE(D13)))</f>
        <v>3</v>
      </c>
      <c r="G13" s="11" t="n">
        <v>33300</v>
      </c>
      <c r="H13" s="11" t="n">
        <v>39002</v>
      </c>
      <c r="I13" s="11"/>
      <c r="J13" s="11"/>
      <c r="K13" s="11"/>
      <c r="L13" s="12"/>
      <c r="M13" s="13"/>
      <c r="N13" s="14" t="n">
        <f aca="false">IF(G13="","",G13/F13)</f>
        <v>11100</v>
      </c>
      <c r="O13" s="14" t="n">
        <f aca="false">IF(COUNT(H13:K13)=0,"",MIN(H13:K13)/F13)</f>
        <v>13000.6666666667</v>
      </c>
      <c r="P13" s="14" t="str">
        <f aca="false">IF(L13="","",L13*95/F13)</f>
        <v/>
      </c>
      <c r="Q13" s="15" t="n">
        <f aca="false">IF(OR(N13="",O13=""),"",(IF(AND(N13&gt;7500,O13&gt;7500),O13/(1+IF(O13&lt;=1000,0,IF(O13&lt;=7500,0.05,0.18)))-IF(AND(N13&gt;7500,O13&gt;7500),N13/1.18,N13),(O13-IF(AND(N13&gt;7500,O13&gt;7500),N13/1.18,N13))/(1+IF(O13&lt;=1000,0,IF(O13&lt;=7500,0.05,0.18)))))/(IF(AND(N13&gt;7500,O13&gt;7500),N13/1.18,N13)))</f>
        <v>0.171231231231231</v>
      </c>
      <c r="R13" s="15" t="n">
        <f aca="false">IF(OR(N13="",O13=""),"",((O13-N13)/1.18)/N13)</f>
        <v>0.145111212907823</v>
      </c>
      <c r="S13" s="15" t="str">
        <f aca="false">IF(OR(P13="",O13=""),"",(P13-O13)/O13)</f>
        <v/>
      </c>
      <c r="T13" s="9" t="str">
        <f aca="false">IF(AND(D13="",G13&lt;&gt;""),"no dates - assumed 1 night",IF(Q13="","",IF(Q13&gt;1.5,"check: markup &gt;150%",IF(Q13&lt;0,"below cost",""))))</f>
        <v/>
      </c>
    </row>
    <row r="14" customFormat="false" ht="15" hidden="false" customHeight="false" outlineLevel="0" collapsed="false">
      <c r="A14" s="9" t="s">
        <v>11</v>
      </c>
      <c r="B14" s="9" t="s">
        <v>132</v>
      </c>
      <c r="C14" s="9" t="s">
        <v>50</v>
      </c>
      <c r="D14" s="10" t="s">
        <v>48</v>
      </c>
      <c r="E14" s="10" t="s">
        <v>49</v>
      </c>
      <c r="F14" s="9" t="n">
        <f aca="false">IF(OR(D14="",E14=""),1,MAX(1,DATEVALUE(E14)-DATEVALUE(D14)))</f>
        <v>3</v>
      </c>
      <c r="G14" s="11" t="n">
        <v>42808</v>
      </c>
      <c r="H14" s="11" t="n">
        <v>52568</v>
      </c>
      <c r="I14" s="11"/>
      <c r="J14" s="11"/>
      <c r="K14" s="11"/>
      <c r="L14" s="12"/>
      <c r="M14" s="13"/>
      <c r="N14" s="14" t="n">
        <f aca="false">IF(G14="","",G14/F14)</f>
        <v>14269.3333333333</v>
      </c>
      <c r="O14" s="14" t="n">
        <f aca="false">IF(COUNT(H14:K14)=0,"",MIN(H14:K14)/F14)</f>
        <v>17522.6666666667</v>
      </c>
      <c r="P14" s="14" t="str">
        <f aca="false">IF(L14="","",L14*95/F14)</f>
        <v/>
      </c>
      <c r="Q14" s="15" t="n">
        <f aca="false">IF(OR(N14="",O14=""),"",(IF(AND(N14&gt;7500,O14&gt;7500),O14/(1+IF(O14&lt;=1000,0,IF(O14&lt;=7500,0.05,0.18)))-IF(AND(N14&gt;7500,O14&gt;7500),N14/1.18,N14),(O14-IF(AND(N14&gt;7500,O14&gt;7500),N14/1.18,N14))/(1+IF(O14&lt;=1000,0,IF(O14&lt;=7500,0.05,0.18)))))/(IF(AND(N14&gt;7500,O14&gt;7500),N14/1.18,N14)))</f>
        <v>0.227994767333209</v>
      </c>
      <c r="R14" s="15" t="n">
        <f aca="false">IF(OR(N14="",O14=""),"",((O14-N14)/1.18)/N14)</f>
        <v>0.193215904519668</v>
      </c>
      <c r="S14" s="15" t="str">
        <f aca="false">IF(OR(P14="",O14=""),"",(P14-O14)/O14)</f>
        <v/>
      </c>
      <c r="T14" s="9" t="str">
        <f aca="false">IF(AND(D14="",G14&lt;&gt;""),"no dates - assumed 1 night",IF(Q14="","",IF(Q14&gt;1.5,"check: markup &gt;150%",IF(Q14&lt;0,"below cost",""))))</f>
        <v/>
      </c>
    </row>
    <row r="15" customFormat="false" ht="15" hidden="false" customHeight="false" outlineLevel="0" collapsed="false">
      <c r="A15" s="9" t="s">
        <v>11</v>
      </c>
      <c r="B15" s="9" t="s">
        <v>132</v>
      </c>
      <c r="C15" s="9" t="s">
        <v>54</v>
      </c>
      <c r="D15" s="10" t="s">
        <v>129</v>
      </c>
      <c r="E15" s="10" t="s">
        <v>130</v>
      </c>
      <c r="F15" s="9" t="n">
        <f aca="false">IF(OR(D15="",E15=""),1,MAX(1,DATEVALUE(E15)-DATEVALUE(D15)))</f>
        <v>3</v>
      </c>
      <c r="G15" s="11" t="n">
        <v>43659</v>
      </c>
      <c r="H15" s="11" t="n">
        <v>54829</v>
      </c>
      <c r="I15" s="11"/>
      <c r="J15" s="11"/>
      <c r="K15" s="11"/>
      <c r="L15" s="12"/>
      <c r="M15" s="13"/>
      <c r="N15" s="14" t="n">
        <f aca="false">IF(G15="","",G15/F15)</f>
        <v>14553</v>
      </c>
      <c r="O15" s="14" t="n">
        <f aca="false">IF(COUNT(H15:K15)=0,"",MIN(H15:K15)/F15)</f>
        <v>18276.3333333333</v>
      </c>
      <c r="P15" s="14" t="str">
        <f aca="false">IF(L15="","",L15*95/F15)</f>
        <v/>
      </c>
      <c r="Q15" s="15" t="n">
        <f aca="false">IF(OR(N15="",O15=""),"",(IF(AND(N15&gt;7500,O15&gt;7500),O15/(1+IF(O15&lt;=1000,0,IF(O15&lt;=7500,0.05,0.18)))-IF(AND(N15&gt;7500,O15&gt;7500),N15/1.18,N15),(O15-IF(AND(N15&gt;7500,O15&gt;7500),N15/1.18,N15))/(1+IF(O15&lt;=1000,0,IF(O15&lt;=7500,0.05,0.18)))))/(IF(AND(N15&gt;7500,O15&gt;7500),N15/1.18,N15)))</f>
        <v>0.255846446322637</v>
      </c>
      <c r="R15" s="15" t="n">
        <f aca="false">IF(OR(N15="",O15=""),"",((O15-N15)/1.18)/N15)</f>
        <v>0.216819022307319</v>
      </c>
      <c r="S15" s="15" t="str">
        <f aca="false">IF(OR(P15="",O15=""),"",(P15-O15)/O15)</f>
        <v/>
      </c>
      <c r="T15" s="9" t="str">
        <f aca="false">IF(AND(D15="",G15&lt;&gt;""),"no dates - assumed 1 night",IF(Q15="","",IF(Q15&gt;1.5,"check: markup &gt;150%",IF(Q15&lt;0,"below cost",""))))</f>
        <v/>
      </c>
    </row>
    <row r="16" customFormat="false" ht="15" hidden="false" customHeight="false" outlineLevel="0" collapsed="false">
      <c r="A16" s="9" t="s">
        <v>11</v>
      </c>
      <c r="B16" s="9" t="s">
        <v>133</v>
      </c>
      <c r="C16" s="9" t="s">
        <v>41</v>
      </c>
      <c r="D16" s="10" t="s">
        <v>99</v>
      </c>
      <c r="E16" s="10" t="s">
        <v>89</v>
      </c>
      <c r="F16" s="9" t="n">
        <f aca="false">IF(OR(D16="",E16=""),1,MAX(1,DATEVALUE(E16)-DATEVALUE(D16)))</f>
        <v>3</v>
      </c>
      <c r="G16" s="11" t="n">
        <v>32370</v>
      </c>
      <c r="H16" s="11" t="n">
        <v>36531</v>
      </c>
      <c r="I16" s="11"/>
      <c r="J16" s="11"/>
      <c r="K16" s="11"/>
      <c r="L16" s="12"/>
      <c r="M16" s="13"/>
      <c r="N16" s="14" t="n">
        <f aca="false">IF(G16="","",G16/F16)</f>
        <v>10790</v>
      </c>
      <c r="O16" s="14" t="n">
        <f aca="false">IF(COUNT(H16:K16)=0,"",MIN(H16:K16)/F16)</f>
        <v>12177</v>
      </c>
      <c r="P16" s="14" t="str">
        <f aca="false">IF(L16="","",L16*95/F16)</f>
        <v/>
      </c>
      <c r="Q16" s="15" t="n">
        <f aca="false">IF(OR(N16="",O16=""),"",(IF(AND(N16&gt;7500,O16&gt;7500),O16/(1+IF(O16&lt;=1000,0,IF(O16&lt;=7500,0.05,0.18)))-IF(AND(N16&gt;7500,O16&gt;7500),N16/1.18,N16),(O16-IF(AND(N16&gt;7500,O16&gt;7500),N16/1.18,N16))/(1+IF(O16&lt;=1000,0,IF(O16&lt;=7500,0.05,0.18)))))/(IF(AND(N16&gt;7500,O16&gt;7500),N16/1.18,N16)))</f>
        <v>0.128544949026877</v>
      </c>
      <c r="R16" s="15" t="n">
        <f aca="false">IF(OR(N16="",O16=""),"",((O16-N16)/1.18)/N16)</f>
        <v>0.108936397480404</v>
      </c>
      <c r="S16" s="15" t="str">
        <f aca="false">IF(OR(P16="",O16=""),"",(P16-O16)/O16)</f>
        <v/>
      </c>
      <c r="T16" s="9" t="str">
        <f aca="false">IF(AND(D16="",G16&lt;&gt;""),"no dates - assumed 1 night",IF(Q16="","",IF(Q16&gt;1.5,"check: markup &gt;150%",IF(Q16&lt;0,"below cost",""))))</f>
        <v/>
      </c>
    </row>
    <row r="17" customFormat="false" ht="15" hidden="false" customHeight="false" outlineLevel="0" collapsed="false">
      <c r="A17" s="9" t="s">
        <v>11</v>
      </c>
      <c r="B17" s="9" t="s">
        <v>133</v>
      </c>
      <c r="C17" s="9" t="s">
        <v>44</v>
      </c>
      <c r="D17" s="10" t="s">
        <v>103</v>
      </c>
      <c r="E17" s="10" t="s">
        <v>104</v>
      </c>
      <c r="F17" s="9" t="n">
        <f aca="false">IF(OR(D17="",E17=""),1,MAX(1,DATEVALUE(E17)-DATEVALUE(D17)))</f>
        <v>3</v>
      </c>
      <c r="G17" s="11" t="n">
        <v>40683</v>
      </c>
      <c r="H17" s="11" t="n">
        <v>46494</v>
      </c>
      <c r="I17" s="11"/>
      <c r="J17" s="11"/>
      <c r="K17" s="11"/>
      <c r="L17" s="12"/>
      <c r="M17" s="13"/>
      <c r="N17" s="14" t="n">
        <f aca="false">IF(G17="","",G17/F17)</f>
        <v>13561</v>
      </c>
      <c r="O17" s="14" t="n">
        <f aca="false">IF(COUNT(H17:K17)=0,"",MIN(H17:K17)/F17)</f>
        <v>15498</v>
      </c>
      <c r="P17" s="14" t="str">
        <f aca="false">IF(L17="","",L17*95/F17)</f>
        <v/>
      </c>
      <c r="Q17" s="15" t="n">
        <f aca="false">IF(OR(N17="",O17=""),"",(IF(AND(N17&gt;7500,O17&gt;7500),O17/(1+IF(O17&lt;=1000,0,IF(O17&lt;=7500,0.05,0.18)))-IF(AND(N17&gt;7500,O17&gt;7500),N17/1.18,N17),(O17-IF(AND(N17&gt;7500,O17&gt;7500),N17/1.18,N17))/(1+IF(O17&lt;=1000,0,IF(O17&lt;=7500,0.05,0.18)))))/(IF(AND(N17&gt;7500,O17&gt;7500),N17/1.18,N17)))</f>
        <v>0.142836074035838</v>
      </c>
      <c r="R17" s="15" t="n">
        <f aca="false">IF(OR(N17="",O17=""),"",((O17-N17)/1.18)/N17)</f>
        <v>0.121047520369354</v>
      </c>
      <c r="S17" s="15" t="str">
        <f aca="false">IF(OR(P17="",O17=""),"",(P17-O17)/O17)</f>
        <v/>
      </c>
      <c r="T17" s="9" t="str">
        <f aca="false">IF(AND(D17="",G17&lt;&gt;""),"no dates - assumed 1 night",IF(Q17="","",IF(Q17&gt;1.5,"check: markup &gt;150%",IF(Q17&lt;0,"below cost",""))))</f>
        <v/>
      </c>
    </row>
    <row r="18" customFormat="false" ht="15" hidden="false" customHeight="false" outlineLevel="0" collapsed="false">
      <c r="A18" s="9" t="s">
        <v>11</v>
      </c>
      <c r="B18" s="9" t="s">
        <v>133</v>
      </c>
      <c r="C18" s="9" t="s">
        <v>47</v>
      </c>
      <c r="D18" s="10" t="s">
        <v>127</v>
      </c>
      <c r="E18" s="10" t="s">
        <v>128</v>
      </c>
      <c r="F18" s="9" t="n">
        <f aca="false">IF(OR(D18="",E18=""),1,MAX(1,DATEVALUE(E18)-DATEVALUE(D18)))</f>
        <v>3</v>
      </c>
      <c r="G18" s="11" t="n">
        <v>43589</v>
      </c>
      <c r="H18" s="11" t="n">
        <v>49815</v>
      </c>
      <c r="I18" s="11"/>
      <c r="J18" s="11"/>
      <c r="K18" s="11"/>
      <c r="L18" s="12"/>
      <c r="M18" s="13"/>
      <c r="N18" s="14" t="n">
        <f aca="false">IF(G18="","",G18/F18)</f>
        <v>14529.6666666667</v>
      </c>
      <c r="O18" s="14" t="n">
        <f aca="false">IF(COUNT(H18:K18)=0,"",MIN(H18:K18)/F18)</f>
        <v>16605</v>
      </c>
      <c r="P18" s="14" t="str">
        <f aca="false">IF(L18="","",L18*95/F18)</f>
        <v/>
      </c>
      <c r="Q18" s="15" t="n">
        <f aca="false">IF(OR(N18="",O18=""),"",(IF(AND(N18&gt;7500,O18&gt;7500),O18/(1+IF(O18&lt;=1000,0,IF(O18&lt;=7500,0.05,0.18)))-IF(AND(N18&gt;7500,O18&gt;7500),N18/1.18,N18),(O18-IF(AND(N18&gt;7500,O18&gt;7500),N18/1.18,N18))/(1+IF(O18&lt;=1000,0,IF(O18&lt;=7500,0.05,0.18)))))/(IF(AND(N18&gt;7500,O18&gt;7500),N18/1.18,N18)))</f>
        <v>0.142834201289316</v>
      </c>
      <c r="R18" s="15" t="n">
        <f aca="false">IF(OR(N18="",O18=""),"",((O18-N18)/1.18)/N18)</f>
        <v>0.121045933296031</v>
      </c>
      <c r="S18" s="15" t="str">
        <f aca="false">IF(OR(P18="",O18=""),"",(P18-O18)/O18)</f>
        <v/>
      </c>
      <c r="T18" s="9" t="str">
        <f aca="false">IF(AND(D18="",G18&lt;&gt;""),"no dates - assumed 1 night",IF(Q18="","",IF(Q18&gt;1.5,"check: markup &gt;150%",IF(Q18&lt;0,"below cost",""))))</f>
        <v/>
      </c>
    </row>
    <row r="19" customFormat="false" ht="15" hidden="false" customHeight="false" outlineLevel="0" collapsed="false">
      <c r="A19" s="9" t="s">
        <v>11</v>
      </c>
      <c r="B19" s="9" t="s">
        <v>133</v>
      </c>
      <c r="C19" s="9" t="s">
        <v>50</v>
      </c>
      <c r="D19" s="10" t="s">
        <v>48</v>
      </c>
      <c r="E19" s="10" t="s">
        <v>49</v>
      </c>
      <c r="F19" s="9" t="n">
        <f aca="false">IF(OR(D19="",E19=""),1,MAX(1,DATEVALUE(E19)-DATEVALUE(D19)))</f>
        <v>3</v>
      </c>
      <c r="G19" s="11" t="n">
        <v>47821</v>
      </c>
      <c r="H19" s="11" t="n">
        <v>53136</v>
      </c>
      <c r="I19" s="11"/>
      <c r="J19" s="11"/>
      <c r="K19" s="11"/>
      <c r="L19" s="12"/>
      <c r="M19" s="13"/>
      <c r="N19" s="14" t="n">
        <f aca="false">IF(G19="","",G19/F19)</f>
        <v>15940.3333333333</v>
      </c>
      <c r="O19" s="14" t="n">
        <f aca="false">IF(COUNT(H19:K19)=0,"",MIN(H19:K19)/F19)</f>
        <v>17712</v>
      </c>
      <c r="P19" s="14" t="str">
        <f aca="false">IF(L19="","",L19*95/F19)</f>
        <v/>
      </c>
      <c r="Q19" s="15" t="n">
        <f aca="false">IF(OR(N19="",O19=""),"",(IF(AND(N19&gt;7500,O19&gt;7500),O19/(1+IF(O19&lt;=1000,0,IF(O19&lt;=7500,0.05,0.18)))-IF(AND(N19&gt;7500,O19&gt;7500),N19/1.18,N19),(O19-IF(AND(N19&gt;7500,O19&gt;7500),N19/1.18,N19))/(1+IF(O19&lt;=1000,0,IF(O19&lt;=7500,0.05,0.18)))))/(IF(AND(N19&gt;7500,O19&gt;7500),N19/1.18,N19)))</f>
        <v>0.111143639823509</v>
      </c>
      <c r="R19" s="15" t="n">
        <f aca="false">IF(OR(N19="",O19=""),"",((O19-N19)/1.18)/N19)</f>
        <v>0.0941895252741597</v>
      </c>
      <c r="S19" s="15" t="str">
        <f aca="false">IF(OR(P19="",O19=""),"",(P19-O19)/O19)</f>
        <v/>
      </c>
      <c r="T19" s="9" t="str">
        <f aca="false">IF(AND(D19="",G19&lt;&gt;""),"no dates - assumed 1 night",IF(Q19="","",IF(Q19&gt;1.5,"check: markup &gt;150%",IF(Q19&lt;0,"below cost",""))))</f>
        <v/>
      </c>
    </row>
    <row r="20" customFormat="false" ht="15" hidden="false" customHeight="false" outlineLevel="0" collapsed="false">
      <c r="A20" s="9" t="s">
        <v>11</v>
      </c>
      <c r="B20" s="9" t="s">
        <v>134</v>
      </c>
      <c r="C20" s="9" t="s">
        <v>41</v>
      </c>
      <c r="D20" s="10" t="s">
        <v>99</v>
      </c>
      <c r="E20" s="10" t="s">
        <v>89</v>
      </c>
      <c r="F20" s="9" t="n">
        <f aca="false">IF(OR(D20="",E20=""),1,MAX(1,DATEVALUE(E20)-DATEVALUE(D20)))</f>
        <v>3</v>
      </c>
      <c r="G20" s="11" t="n">
        <v>35755</v>
      </c>
      <c r="H20" s="11" t="n">
        <v>29454</v>
      </c>
      <c r="I20" s="11"/>
      <c r="J20" s="11"/>
      <c r="K20" s="11"/>
      <c r="L20" s="12"/>
      <c r="M20" s="13"/>
      <c r="N20" s="14" t="n">
        <f aca="false">IF(G20="","",G20/F20)</f>
        <v>11918.3333333333</v>
      </c>
      <c r="O20" s="14" t="n">
        <f aca="false">IF(COUNT(H20:K20)=0,"",MIN(H20:K20)/F20)</f>
        <v>9818</v>
      </c>
      <c r="P20" s="14" t="str">
        <f aca="false">IF(L20="","",L20*95/F20)</f>
        <v/>
      </c>
      <c r="Q20" s="15" t="n">
        <f aca="false">IF(OR(N20="",O20=""),"",(IF(AND(N20&gt;7500,O20&gt;7500),O20/(1+IF(O20&lt;=1000,0,IF(O20&lt;=7500,0.05,0.18)))-IF(AND(N20&gt;7500,O20&gt;7500),N20/1.18,N20),(O20-IF(AND(N20&gt;7500,O20&gt;7500),N20/1.18,N20))/(1+IF(O20&lt;=1000,0,IF(O20&lt;=7500,0.05,0.18)))))/(IF(AND(N20&gt;7500,O20&gt;7500),N20/1.18,N20)))</f>
        <v>-0.176227101104741</v>
      </c>
      <c r="R20" s="15" t="n">
        <f aca="false">IF(OR(N20="",O20=""),"",((O20-N20)/1.18)/N20)</f>
        <v>-0.149345000936221</v>
      </c>
      <c r="S20" s="15" t="str">
        <f aca="false">IF(OR(P20="",O20=""),"",(P20-O20)/O20)</f>
        <v/>
      </c>
      <c r="T20" s="9" t="str">
        <f aca="false">IF(AND(D20="",G20&lt;&gt;""),"no dates - assumed 1 night",IF(Q20="","",IF(Q20&gt;1.5,"check: markup &gt;150%",IF(Q20&lt;0,"below cost",""))))</f>
        <v>below cost</v>
      </c>
    </row>
    <row r="21" customFormat="false" ht="15" hidden="false" customHeight="false" outlineLevel="0" collapsed="false">
      <c r="A21" s="9" t="s">
        <v>11</v>
      </c>
      <c r="B21" s="9" t="s">
        <v>134</v>
      </c>
      <c r="C21" s="9" t="s">
        <v>44</v>
      </c>
      <c r="D21" s="10" t="s">
        <v>103</v>
      </c>
      <c r="E21" s="10" t="s">
        <v>104</v>
      </c>
      <c r="F21" s="9" t="n">
        <f aca="false">IF(OR(D21="",E21=""),1,MAX(1,DATEVALUE(E21)-DATEVALUE(D21)))</f>
        <v>3</v>
      </c>
      <c r="G21" s="11" t="n">
        <v>28778</v>
      </c>
      <c r="H21" s="11" t="n">
        <v>30374</v>
      </c>
      <c r="I21" s="11"/>
      <c r="J21" s="11"/>
      <c r="K21" s="11"/>
      <c r="L21" s="12"/>
      <c r="M21" s="13"/>
      <c r="N21" s="14" t="n">
        <f aca="false">IF(G21="","",G21/F21)</f>
        <v>9592.66666666667</v>
      </c>
      <c r="O21" s="14" t="n">
        <f aca="false">IF(COUNT(H21:K21)=0,"",MIN(H21:K21)/F21)</f>
        <v>10124.6666666667</v>
      </c>
      <c r="P21" s="14" t="str">
        <f aca="false">IF(L21="","",L21*95/F21)</f>
        <v/>
      </c>
      <c r="Q21" s="15" t="n">
        <f aca="false">IF(OR(N21="",O21=""),"",(IF(AND(N21&gt;7500,O21&gt;7500),O21/(1+IF(O21&lt;=1000,0,IF(O21&lt;=7500,0.05,0.18)))-IF(AND(N21&gt;7500,O21&gt;7500),N21/1.18,N21),(O21-IF(AND(N21&gt;7500,O21&gt;7500),N21/1.18,N21))/(1+IF(O21&lt;=1000,0,IF(O21&lt;=7500,0.05,0.18)))))/(IF(AND(N21&gt;7500,O21&gt;7500),N21/1.18,N21)))</f>
        <v>0.0554590312043923</v>
      </c>
      <c r="R21" s="15" t="n">
        <f aca="false">IF(OR(N21="",O21=""),"",((O21-N21)/1.18)/N21)</f>
        <v>0.0469991789867731</v>
      </c>
      <c r="S21" s="15" t="str">
        <f aca="false">IF(OR(P21="",O21=""),"",(P21-O21)/O21)</f>
        <v/>
      </c>
      <c r="T21" s="9" t="str">
        <f aca="false">IF(AND(D21="",G21&lt;&gt;""),"no dates - assumed 1 night",IF(Q21="","",IF(Q21&gt;1.5,"check: markup &gt;150%",IF(Q21&lt;0,"below cost",""))))</f>
        <v/>
      </c>
    </row>
    <row r="22" customFormat="false" ht="15" hidden="false" customHeight="false" outlineLevel="0" collapsed="false">
      <c r="A22" s="9" t="s">
        <v>11</v>
      </c>
      <c r="B22" s="9" t="s">
        <v>134</v>
      </c>
      <c r="C22" s="9" t="s">
        <v>47</v>
      </c>
      <c r="D22" s="10" t="s">
        <v>127</v>
      </c>
      <c r="E22" s="10" t="s">
        <v>128</v>
      </c>
      <c r="F22" s="9" t="n">
        <f aca="false">IF(OR(D22="",E22=""),1,MAX(1,DATEVALUE(E22)-DATEVALUE(D22)))</f>
        <v>3</v>
      </c>
      <c r="G22" s="11" t="n">
        <v>48554</v>
      </c>
      <c r="H22" s="11" t="n">
        <v>49705</v>
      </c>
      <c r="I22" s="11"/>
      <c r="J22" s="11"/>
      <c r="K22" s="11"/>
      <c r="L22" s="12"/>
      <c r="M22" s="13"/>
      <c r="N22" s="14" t="n">
        <f aca="false">IF(G22="","",G22/F22)</f>
        <v>16184.6666666667</v>
      </c>
      <c r="O22" s="14" t="n">
        <f aca="false">IF(COUNT(H22:K22)=0,"",MIN(H22:K22)/F22)</f>
        <v>16568.3333333333</v>
      </c>
      <c r="P22" s="14" t="str">
        <f aca="false">IF(L22="","",L22*95/F22)</f>
        <v/>
      </c>
      <c r="Q22" s="15" t="n">
        <f aca="false">IF(OR(N22="",O22=""),"",(IF(AND(N22&gt;7500,O22&gt;7500),O22/(1+IF(O22&lt;=1000,0,IF(O22&lt;=7500,0.05,0.18)))-IF(AND(N22&gt;7500,O22&gt;7500),N22/1.18,N22),(O22-IF(AND(N22&gt;7500,O22&gt;7500),N22/1.18,N22))/(1+IF(O22&lt;=1000,0,IF(O22&lt;=7500,0.05,0.18)))))/(IF(AND(N22&gt;7500,O22&gt;7500),N22/1.18,N22)))</f>
        <v>0.0237055649380071</v>
      </c>
      <c r="R22" s="15" t="n">
        <f aca="false">IF(OR(N22="",O22=""),"",((O22-N22)/1.18)/N22)</f>
        <v>0.0200894618118705</v>
      </c>
      <c r="S22" s="15" t="str">
        <f aca="false">IF(OR(P22="",O22=""),"",(P22-O22)/O22)</f>
        <v/>
      </c>
      <c r="T22" s="9" t="str">
        <f aca="false">IF(AND(D22="",G22&lt;&gt;""),"no dates - assumed 1 night",IF(Q22="","",IF(Q22&gt;1.5,"check: markup &gt;150%",IF(Q22&lt;0,"below cost",""))))</f>
        <v/>
      </c>
    </row>
    <row r="23" customFormat="false" ht="15" hidden="false" customHeight="false" outlineLevel="0" collapsed="false">
      <c r="A23" s="9" t="s">
        <v>11</v>
      </c>
      <c r="B23" s="9" t="s">
        <v>134</v>
      </c>
      <c r="C23" s="9" t="s">
        <v>50</v>
      </c>
      <c r="D23" s="10" t="s">
        <v>48</v>
      </c>
      <c r="E23" s="10" t="s">
        <v>49</v>
      </c>
      <c r="F23" s="9" t="n">
        <f aca="false">IF(OR(D23="",E23=""),1,MAX(1,DATEVALUE(E23)-DATEVALUE(D23)))</f>
        <v>3</v>
      </c>
      <c r="G23" s="11" t="n">
        <v>47229</v>
      </c>
      <c r="H23" s="11" t="n">
        <v>49705</v>
      </c>
      <c r="I23" s="11"/>
      <c r="J23" s="11"/>
      <c r="K23" s="11"/>
      <c r="L23" s="12"/>
      <c r="M23" s="13"/>
      <c r="N23" s="14" t="n">
        <f aca="false">IF(G23="","",G23/F23)</f>
        <v>15743</v>
      </c>
      <c r="O23" s="14" t="n">
        <f aca="false">IF(COUNT(H23:K23)=0,"",MIN(H23:K23)/F23)</f>
        <v>16568.3333333333</v>
      </c>
      <c r="P23" s="14" t="str">
        <f aca="false">IF(L23="","",L23*95/F23)</f>
        <v/>
      </c>
      <c r="Q23" s="15" t="n">
        <f aca="false">IF(OR(N23="",O23=""),"",(IF(AND(N23&gt;7500,O23&gt;7500),O23/(1+IF(O23&lt;=1000,0,IF(O23&lt;=7500,0.05,0.18)))-IF(AND(N23&gt;7500,O23&gt;7500),N23/1.18,N23),(O23-IF(AND(N23&gt;7500,O23&gt;7500),N23/1.18,N23))/(1+IF(O23&lt;=1000,0,IF(O23&lt;=7500,0.05,0.18)))))/(IF(AND(N23&gt;7500,O23&gt;7500),N23/1.18,N23)))</f>
        <v>0.0524254165872662</v>
      </c>
      <c r="R23" s="15" t="n">
        <f aca="false">IF(OR(N23="",O23=""),"",((O23-N23)/1.18)/N23)</f>
        <v>0.044428319141751</v>
      </c>
      <c r="S23" s="15" t="str">
        <f aca="false">IF(OR(P23="",O23=""),"",(P23-O23)/O23)</f>
        <v/>
      </c>
      <c r="T23" s="9" t="str">
        <f aca="false">IF(AND(D23="",G23&lt;&gt;""),"no dates - assumed 1 night",IF(Q23="","",IF(Q23&gt;1.5,"check: markup &gt;150%",IF(Q23&lt;0,"below cost",""))))</f>
        <v/>
      </c>
    </row>
    <row r="24" customFormat="false" ht="15" hidden="false" customHeight="false" outlineLevel="0" collapsed="false">
      <c r="A24" s="9" t="s">
        <v>11</v>
      </c>
      <c r="B24" s="9" t="s">
        <v>134</v>
      </c>
      <c r="C24" s="9" t="s">
        <v>54</v>
      </c>
      <c r="D24" s="10" t="s">
        <v>129</v>
      </c>
      <c r="E24" s="10" t="s">
        <v>130</v>
      </c>
      <c r="F24" s="9" t="n">
        <f aca="false">IF(OR(D24="",E24=""),1,MAX(1,DATEVALUE(E24)-DATEVALUE(D24)))</f>
        <v>3</v>
      </c>
      <c r="G24" s="11" t="n">
        <v>49582</v>
      </c>
      <c r="H24" s="11" t="n">
        <v>53056</v>
      </c>
      <c r="I24" s="11"/>
      <c r="J24" s="11"/>
      <c r="K24" s="11"/>
      <c r="L24" s="12"/>
      <c r="M24" s="13"/>
      <c r="N24" s="14" t="n">
        <f aca="false">IF(G24="","",G24/F24)</f>
        <v>16527.3333333333</v>
      </c>
      <c r="O24" s="14" t="n">
        <f aca="false">IF(COUNT(H24:K24)=0,"",MIN(H24:K24)/F24)</f>
        <v>17685.3333333333</v>
      </c>
      <c r="P24" s="14" t="str">
        <f aca="false">IF(L24="","",L24*95/F24)</f>
        <v/>
      </c>
      <c r="Q24" s="15" t="n">
        <f aca="false">IF(OR(N24="",O24=""),"",(IF(AND(N24&gt;7500,O24&gt;7500),O24/(1+IF(O24&lt;=1000,0,IF(O24&lt;=7500,0.05,0.18)))-IF(AND(N24&gt;7500,O24&gt;7500),N24/1.18,N24),(O24-IF(AND(N24&gt;7500,O24&gt;7500),N24/1.18,N24))/(1+IF(O24&lt;=1000,0,IF(O24&lt;=7500,0.05,0.18)))))/(IF(AND(N24&gt;7500,O24&gt;7500),N24/1.18,N24)))</f>
        <v>0.070065749667218</v>
      </c>
      <c r="R24" s="15" t="n">
        <f aca="false">IF(OR(N24="",O24=""),"",((O24-N24)/1.18)/N24)</f>
        <v>0.0593777539552695</v>
      </c>
      <c r="S24" s="15" t="str">
        <f aca="false">IF(OR(P24="",O24=""),"",(P24-O24)/O24)</f>
        <v/>
      </c>
      <c r="T24" s="9" t="str">
        <f aca="false">IF(AND(D24="",G24&lt;&gt;""),"no dates - assumed 1 night",IF(Q24="","",IF(Q24&gt;1.5,"check: markup &gt;150%",IF(Q24&lt;0,"below cost",""))))</f>
        <v/>
      </c>
    </row>
    <row r="25" customFormat="false" ht="15" hidden="false" customHeight="false" outlineLevel="0" collapsed="false">
      <c r="A25" s="9" t="s">
        <v>11</v>
      </c>
      <c r="B25" s="9" t="s">
        <v>135</v>
      </c>
      <c r="C25" s="9" t="s">
        <v>41</v>
      </c>
      <c r="D25" s="10" t="s">
        <v>99</v>
      </c>
      <c r="E25" s="10" t="s">
        <v>89</v>
      </c>
      <c r="F25" s="9" t="n">
        <f aca="false">IF(OR(D25="",E25=""),1,MAX(1,DATEVALUE(E25)-DATEVALUE(D25)))</f>
        <v>3</v>
      </c>
      <c r="G25" s="11" t="n">
        <v>29630</v>
      </c>
      <c r="H25" s="11" t="n">
        <v>35397</v>
      </c>
      <c r="I25" s="11"/>
      <c r="J25" s="11"/>
      <c r="K25" s="11"/>
      <c r="L25" s="12"/>
      <c r="M25" s="13"/>
      <c r="N25" s="14" t="n">
        <f aca="false">IF(G25="","",G25/F25)</f>
        <v>9876.66666666667</v>
      </c>
      <c r="O25" s="14" t="n">
        <f aca="false">IF(COUNT(H25:K25)=0,"",MIN(H25:K25)/F25)</f>
        <v>11799</v>
      </c>
      <c r="P25" s="14" t="str">
        <f aca="false">IF(L25="","",L25*95/F25)</f>
        <v/>
      </c>
      <c r="Q25" s="15" t="n">
        <f aca="false">IF(OR(N25="",O25=""),"",(IF(AND(N25&gt;7500,O25&gt;7500),O25/(1+IF(O25&lt;=1000,0,IF(O25&lt;=7500,0.05,0.18)))-IF(AND(N25&gt;7500,O25&gt;7500),N25/1.18,N25),(O25-IF(AND(N25&gt;7500,O25&gt;7500),N25/1.18,N25))/(1+IF(O25&lt;=1000,0,IF(O25&lt;=7500,0.05,0.18)))))/(IF(AND(N25&gt;7500,O25&gt;7500),N25/1.18,N25)))</f>
        <v>0.194633817077287</v>
      </c>
      <c r="R25" s="15" t="n">
        <f aca="false">IF(OR(N25="",O25=""),"",((O25-N25)/1.18)/N25)</f>
        <v>0.164943912777362</v>
      </c>
      <c r="S25" s="15" t="str">
        <f aca="false">IF(OR(P25="",O25=""),"",(P25-O25)/O25)</f>
        <v/>
      </c>
      <c r="T25" s="9" t="str">
        <f aca="false">IF(AND(D25="",G25&lt;&gt;""),"no dates - assumed 1 night",IF(Q25="","",IF(Q25&gt;1.5,"check: markup &gt;150%",IF(Q25&lt;0,"below cost",""))))</f>
        <v/>
      </c>
    </row>
    <row r="26" customFormat="false" ht="15" hidden="false" customHeight="false" outlineLevel="0" collapsed="false">
      <c r="A26" s="9" t="s">
        <v>11</v>
      </c>
      <c r="B26" s="9" t="s">
        <v>135</v>
      </c>
      <c r="C26" s="9" t="s">
        <v>44</v>
      </c>
      <c r="D26" s="10" t="s">
        <v>103</v>
      </c>
      <c r="E26" s="10" t="s">
        <v>104</v>
      </c>
      <c r="F26" s="9" t="n">
        <f aca="false">IF(OR(D26="",E26=""),1,MAX(1,DATEVALUE(E26)-DATEVALUE(D26)))</f>
        <v>3</v>
      </c>
      <c r="G26" s="11" t="n">
        <v>29932</v>
      </c>
      <c r="H26" s="11" t="n">
        <v>35397</v>
      </c>
      <c r="I26" s="11"/>
      <c r="J26" s="11"/>
      <c r="K26" s="11"/>
      <c r="L26" s="12"/>
      <c r="M26" s="13"/>
      <c r="N26" s="14" t="n">
        <f aca="false">IF(G26="","",G26/F26)</f>
        <v>9977.33333333333</v>
      </c>
      <c r="O26" s="14" t="n">
        <f aca="false">IF(COUNT(H26:K26)=0,"",MIN(H26:K26)/F26)</f>
        <v>11799</v>
      </c>
      <c r="P26" s="14" t="str">
        <f aca="false">IF(L26="","",L26*95/F26)</f>
        <v/>
      </c>
      <c r="Q26" s="15" t="n">
        <f aca="false">IF(OR(N26="",O26=""),"",(IF(AND(N26&gt;7500,O26&gt;7500),O26/(1+IF(O26&lt;=1000,0,IF(O26&lt;=7500,0.05,0.18)))-IF(AND(N26&gt;7500,O26&gt;7500),N26/1.18,N26),(O26-IF(AND(N26&gt;7500,O26&gt;7500),N26/1.18,N26))/(1+IF(O26&lt;=1000,0,IF(O26&lt;=7500,0.05,0.18)))))/(IF(AND(N26&gt;7500,O26&gt;7500),N26/1.18,N26)))</f>
        <v>0.182580515835895</v>
      </c>
      <c r="R26" s="15" t="n">
        <f aca="false">IF(OR(N26="",O26=""),"",((O26-N26)/1.18)/N26)</f>
        <v>0.154729250708385</v>
      </c>
      <c r="S26" s="15" t="str">
        <f aca="false">IF(OR(P26="",O26=""),"",(P26-O26)/O26)</f>
        <v/>
      </c>
      <c r="T26" s="9" t="str">
        <f aca="false">IF(AND(D26="",G26&lt;&gt;""),"no dates - assumed 1 night",IF(Q26="","",IF(Q26&gt;1.5,"check: markup &gt;150%",IF(Q26&lt;0,"below cost",""))))</f>
        <v/>
      </c>
    </row>
    <row r="27" customFormat="false" ht="15" hidden="false" customHeight="false" outlineLevel="0" collapsed="false">
      <c r="A27" s="9" t="s">
        <v>11</v>
      </c>
      <c r="B27" s="9" t="s">
        <v>135</v>
      </c>
      <c r="C27" s="9" t="s">
        <v>47</v>
      </c>
      <c r="D27" s="10" t="s">
        <v>127</v>
      </c>
      <c r="E27" s="10" t="s">
        <v>128</v>
      </c>
      <c r="F27" s="9" t="n">
        <f aca="false">IF(OR(D27="",E27=""),1,MAX(1,DATEVALUE(E27)-DATEVALUE(D27)))</f>
        <v>3</v>
      </c>
      <c r="G27" s="11" t="n">
        <v>29932</v>
      </c>
      <c r="H27" s="11" t="n">
        <v>35397</v>
      </c>
      <c r="I27" s="11"/>
      <c r="J27" s="11"/>
      <c r="K27" s="11"/>
      <c r="L27" s="12"/>
      <c r="M27" s="13"/>
      <c r="N27" s="14" t="n">
        <f aca="false">IF(G27="","",G27/F27)</f>
        <v>9977.33333333333</v>
      </c>
      <c r="O27" s="14" t="n">
        <f aca="false">IF(COUNT(H27:K27)=0,"",MIN(H27:K27)/F27)</f>
        <v>11799</v>
      </c>
      <c r="P27" s="14" t="str">
        <f aca="false">IF(L27="","",L27*95/F27)</f>
        <v/>
      </c>
      <c r="Q27" s="15" t="n">
        <f aca="false">IF(OR(N27="",O27=""),"",(IF(AND(N27&gt;7500,O27&gt;7500),O27/(1+IF(O27&lt;=1000,0,IF(O27&lt;=7500,0.05,0.18)))-IF(AND(N27&gt;7500,O27&gt;7500),N27/1.18,N27),(O27-IF(AND(N27&gt;7500,O27&gt;7500),N27/1.18,N27))/(1+IF(O27&lt;=1000,0,IF(O27&lt;=7500,0.05,0.18)))))/(IF(AND(N27&gt;7500,O27&gt;7500),N27/1.18,N27)))</f>
        <v>0.182580515835895</v>
      </c>
      <c r="R27" s="15" t="n">
        <f aca="false">IF(OR(N27="",O27=""),"",((O27-N27)/1.18)/N27)</f>
        <v>0.154729250708385</v>
      </c>
      <c r="S27" s="15" t="str">
        <f aca="false">IF(OR(P27="",O27=""),"",(P27-O27)/O27)</f>
        <v/>
      </c>
      <c r="T27" s="9" t="str">
        <f aca="false">IF(AND(D27="",G27&lt;&gt;""),"no dates - assumed 1 night",IF(Q27="","",IF(Q27&gt;1.5,"check: markup &gt;150%",IF(Q27&lt;0,"below cost",""))))</f>
        <v/>
      </c>
    </row>
    <row r="28" customFormat="false" ht="15" hidden="false" customHeight="false" outlineLevel="0" collapsed="false">
      <c r="A28" s="9" t="s">
        <v>11</v>
      </c>
      <c r="B28" s="9" t="s">
        <v>135</v>
      </c>
      <c r="C28" s="9" t="s">
        <v>50</v>
      </c>
      <c r="D28" s="10" t="s">
        <v>48</v>
      </c>
      <c r="E28" s="10" t="s">
        <v>49</v>
      </c>
      <c r="F28" s="9" t="n">
        <f aca="false">IF(OR(D28="",E28=""),1,MAX(1,DATEVALUE(E28)-DATEVALUE(D28)))</f>
        <v>3</v>
      </c>
      <c r="G28" s="11" t="n">
        <v>29932</v>
      </c>
      <c r="H28" s="11" t="n">
        <v>35397</v>
      </c>
      <c r="I28" s="11"/>
      <c r="J28" s="11"/>
      <c r="K28" s="11"/>
      <c r="L28" s="12"/>
      <c r="M28" s="13"/>
      <c r="N28" s="14" t="n">
        <f aca="false">IF(G28="","",G28/F28)</f>
        <v>9977.33333333333</v>
      </c>
      <c r="O28" s="14" t="n">
        <f aca="false">IF(COUNT(H28:K28)=0,"",MIN(H28:K28)/F28)</f>
        <v>11799</v>
      </c>
      <c r="P28" s="14" t="str">
        <f aca="false">IF(L28="","",L28*95/F28)</f>
        <v/>
      </c>
      <c r="Q28" s="15" t="n">
        <f aca="false">IF(OR(N28="",O28=""),"",(IF(AND(N28&gt;7500,O28&gt;7500),O28/(1+IF(O28&lt;=1000,0,IF(O28&lt;=7500,0.05,0.18)))-IF(AND(N28&gt;7500,O28&gt;7500),N28/1.18,N28),(O28-IF(AND(N28&gt;7500,O28&gt;7500),N28/1.18,N28))/(1+IF(O28&lt;=1000,0,IF(O28&lt;=7500,0.05,0.18)))))/(IF(AND(N28&gt;7500,O28&gt;7500),N28/1.18,N28)))</f>
        <v>0.182580515835895</v>
      </c>
      <c r="R28" s="15" t="n">
        <f aca="false">IF(OR(N28="",O28=""),"",((O28-N28)/1.18)/N28)</f>
        <v>0.154729250708385</v>
      </c>
      <c r="S28" s="15" t="str">
        <f aca="false">IF(OR(P28="",O28=""),"",(P28-O28)/O28)</f>
        <v/>
      </c>
      <c r="T28" s="9" t="str">
        <f aca="false">IF(AND(D28="",G28&lt;&gt;""),"no dates - assumed 1 night",IF(Q28="","",IF(Q28&gt;1.5,"check: markup &gt;150%",IF(Q28&lt;0,"below cost",""))))</f>
        <v/>
      </c>
    </row>
    <row r="29" customFormat="false" ht="15" hidden="false" customHeight="false" outlineLevel="0" collapsed="false">
      <c r="A29" s="9" t="s">
        <v>11</v>
      </c>
      <c r="B29" s="9" t="s">
        <v>136</v>
      </c>
      <c r="C29" s="9" t="s">
        <v>41</v>
      </c>
      <c r="D29" s="10" t="s">
        <v>99</v>
      </c>
      <c r="E29" s="10" t="s">
        <v>89</v>
      </c>
      <c r="F29" s="9" t="n">
        <f aca="false">IF(OR(D29="",E29=""),1,MAX(1,DATEVALUE(E29)-DATEVALUE(D29)))</f>
        <v>3</v>
      </c>
      <c r="G29" s="11" t="n">
        <v>9703</v>
      </c>
      <c r="H29" s="11" t="n">
        <v>13829</v>
      </c>
      <c r="I29" s="11"/>
      <c r="J29" s="11"/>
      <c r="K29" s="11"/>
      <c r="L29" s="12"/>
      <c r="M29" s="13"/>
      <c r="N29" s="14" t="n">
        <f aca="false">IF(G29="","",G29/F29)</f>
        <v>3234.33333333333</v>
      </c>
      <c r="O29" s="14" t="n">
        <f aca="false">IF(COUNT(H29:K29)=0,"",MIN(H29:K29)/F29)</f>
        <v>4609.66666666667</v>
      </c>
      <c r="P29" s="14" t="str">
        <f aca="false">IF(L29="","",L29*95/F29)</f>
        <v/>
      </c>
      <c r="Q29" s="15" t="n">
        <f aca="false">IF(OR(N29="",O29=""),"",(IF(AND(N29&gt;7500,O29&gt;7500),O29/(1+IF(O29&lt;=1000,0,IF(O29&lt;=7500,0.05,0.18)))-IF(AND(N29&gt;7500,O29&gt;7500),N29/1.18,N29),(O29-IF(AND(N29&gt;7500,O29&gt;7500),N29/1.18,N29))/(1+IF(O29&lt;=1000,0,IF(O29&lt;=7500,0.05,0.18)))))/(IF(AND(N29&gt;7500,O29&gt;7500),N29/1.18,N29)))</f>
        <v>0.404980295735732</v>
      </c>
      <c r="R29" s="15" t="n">
        <f aca="false">IF(OR(N29="",O29=""),"",((O29-N29)/1.18)/N29)</f>
        <v>0.360363822476711</v>
      </c>
      <c r="S29" s="15" t="str">
        <f aca="false">IF(OR(P29="",O29=""),"",(P29-O29)/O29)</f>
        <v/>
      </c>
      <c r="T29" s="9" t="str">
        <f aca="false">IF(AND(D29="",G29&lt;&gt;""),"no dates - assumed 1 night",IF(Q29="","",IF(Q29&gt;1.5,"check: markup &gt;150%",IF(Q29&lt;0,"below cost",""))))</f>
        <v/>
      </c>
    </row>
    <row r="30" customFormat="false" ht="15" hidden="false" customHeight="false" outlineLevel="0" collapsed="false">
      <c r="A30" s="9" t="s">
        <v>11</v>
      </c>
      <c r="B30" s="9" t="s">
        <v>137</v>
      </c>
      <c r="C30" s="9" t="s">
        <v>41</v>
      </c>
      <c r="D30" s="10" t="s">
        <v>99</v>
      </c>
      <c r="E30" s="10" t="s">
        <v>89</v>
      </c>
      <c r="F30" s="9" t="n">
        <f aca="false">IF(OR(D30="",E30=""),1,MAX(1,DATEVALUE(E30)-DATEVALUE(D30)))</f>
        <v>3</v>
      </c>
      <c r="G30" s="11" t="n">
        <v>11097</v>
      </c>
      <c r="H30" s="11" t="n">
        <v>14836</v>
      </c>
      <c r="I30" s="11"/>
      <c r="J30" s="11"/>
      <c r="K30" s="11"/>
      <c r="L30" s="12"/>
      <c r="M30" s="13"/>
      <c r="N30" s="14" t="n">
        <f aca="false">IF(G30="","",G30/F30)</f>
        <v>3699</v>
      </c>
      <c r="O30" s="14" t="n">
        <f aca="false">IF(COUNT(H30:K30)=0,"",MIN(H30:K30)/F30)</f>
        <v>4945.33333333333</v>
      </c>
      <c r="P30" s="14" t="str">
        <f aca="false">IF(L30="","",L30*95/F30)</f>
        <v/>
      </c>
      <c r="Q30" s="15" t="n">
        <f aca="false">IF(OR(N30="",O30=""),"",(IF(AND(N30&gt;7500,O30&gt;7500),O30/(1+IF(O30&lt;=1000,0,IF(O30&lt;=7500,0.05,0.18)))-IF(AND(N30&gt;7500,O30&gt;7500),N30/1.18,N30),(O30-IF(AND(N30&gt;7500,O30&gt;7500),N30/1.18,N30))/(1+IF(O30&lt;=1000,0,IF(O30&lt;=7500,0.05,0.18)))))/(IF(AND(N30&gt;7500,O30&gt;7500),N30/1.18,N30)))</f>
        <v>0.320893248711578</v>
      </c>
      <c r="R30" s="15" t="n">
        <f aca="false">IF(OR(N30="",O30=""),"",((O30-N30)/1.18)/N30)</f>
        <v>0.285540602667082</v>
      </c>
      <c r="S30" s="15" t="str">
        <f aca="false">IF(OR(P30="",O30=""),"",(P30-O30)/O30)</f>
        <v/>
      </c>
      <c r="T30" s="9" t="str">
        <f aca="false">IF(AND(D30="",G30&lt;&gt;""),"no dates - assumed 1 night",IF(Q30="","",IF(Q30&gt;1.5,"check: markup &gt;150%",IF(Q30&lt;0,"below cost",""))))</f>
        <v/>
      </c>
    </row>
    <row r="31" customFormat="false" ht="15" hidden="false" customHeight="false" outlineLevel="0" collapsed="false">
      <c r="A31" s="9" t="s">
        <v>11</v>
      </c>
      <c r="B31" s="9" t="s">
        <v>137</v>
      </c>
      <c r="C31" s="9" t="s">
        <v>44</v>
      </c>
      <c r="D31" s="10" t="s">
        <v>103</v>
      </c>
      <c r="E31" s="10" t="s">
        <v>104</v>
      </c>
      <c r="F31" s="9" t="n">
        <f aca="false">IF(OR(D31="",E31=""),1,MAX(1,DATEVALUE(E31)-DATEVALUE(D31)))</f>
        <v>3</v>
      </c>
      <c r="G31" s="11" t="n">
        <v>10872</v>
      </c>
      <c r="H31" s="11" t="n">
        <v>12580</v>
      </c>
      <c r="I31" s="11"/>
      <c r="J31" s="11"/>
      <c r="K31" s="11"/>
      <c r="L31" s="12"/>
      <c r="M31" s="13"/>
      <c r="N31" s="14" t="n">
        <f aca="false">IF(G31="","",G31/F31)</f>
        <v>3624</v>
      </c>
      <c r="O31" s="14" t="n">
        <f aca="false">IF(COUNT(H31:K31)=0,"",MIN(H31:K31)/F31)</f>
        <v>4193.33333333333</v>
      </c>
      <c r="P31" s="14" t="str">
        <f aca="false">IF(L31="","",L31*95/F31)</f>
        <v/>
      </c>
      <c r="Q31" s="15" t="n">
        <f aca="false">IF(OR(N31="",O31=""),"",(IF(AND(N31&gt;7500,O31&gt;7500),O31/(1+IF(O31&lt;=1000,0,IF(O31&lt;=7500,0.05,0.18)))-IF(AND(N31&gt;7500,O31&gt;7500),N31/1.18,N31),(O31-IF(AND(N31&gt;7500,O31&gt;7500),N31/1.18,N31))/(1+IF(O31&lt;=1000,0,IF(O31&lt;=7500,0.05,0.18)))))/(IF(AND(N31&gt;7500,O31&gt;7500),N31/1.18,N31)))</f>
        <v>0.149619818493991</v>
      </c>
      <c r="R31" s="15" t="n">
        <f aca="false">IF(OR(N31="",O31=""),"",((O31-N31)/1.18)/N31)</f>
        <v>0.133136279168381</v>
      </c>
      <c r="S31" s="15" t="str">
        <f aca="false">IF(OR(P31="",O31=""),"",(P31-O31)/O31)</f>
        <v/>
      </c>
      <c r="T31" s="9" t="str">
        <f aca="false">IF(AND(D31="",G31&lt;&gt;""),"no dates - assumed 1 night",IF(Q31="","",IF(Q31&gt;1.5,"check: markup &gt;150%",IF(Q31&lt;0,"below cost",""))))</f>
        <v/>
      </c>
    </row>
    <row r="32" customFormat="false" ht="15" hidden="false" customHeight="false" outlineLevel="0" collapsed="false">
      <c r="A32" s="9" t="s">
        <v>11</v>
      </c>
      <c r="B32" s="9" t="s">
        <v>137</v>
      </c>
      <c r="C32" s="9" t="s">
        <v>47</v>
      </c>
      <c r="D32" s="10" t="s">
        <v>127</v>
      </c>
      <c r="E32" s="10" t="s">
        <v>128</v>
      </c>
      <c r="F32" s="9" t="n">
        <f aca="false">IF(OR(D32="",E32=""),1,MAX(1,DATEVALUE(E32)-DATEVALUE(D32)))</f>
        <v>3</v>
      </c>
      <c r="G32" s="11" t="n">
        <v>12979</v>
      </c>
      <c r="H32" s="11" t="n">
        <v>16426</v>
      </c>
      <c r="I32" s="11"/>
      <c r="J32" s="11"/>
      <c r="K32" s="11"/>
      <c r="L32" s="12"/>
      <c r="M32" s="13"/>
      <c r="N32" s="14" t="n">
        <f aca="false">IF(G32="","",G32/F32)</f>
        <v>4326.33333333333</v>
      </c>
      <c r="O32" s="14" t="n">
        <f aca="false">IF(COUNT(H32:K32)=0,"",MIN(H32:K32)/F32)</f>
        <v>5475.33333333333</v>
      </c>
      <c r="P32" s="14" t="str">
        <f aca="false">IF(L32="","",L32*95/F32)</f>
        <v/>
      </c>
      <c r="Q32" s="15" t="n">
        <f aca="false">IF(OR(N32="",O32=""),"",(IF(AND(N32&gt;7500,O32&gt;7500),O32/(1+IF(O32&lt;=1000,0,IF(O32&lt;=7500,0.05,0.18)))-IF(AND(N32&gt;7500,O32&gt;7500),N32/1.18,N32),(O32-IF(AND(N32&gt;7500,O32&gt;7500),N32/1.18,N32))/(1+IF(O32&lt;=1000,0,IF(O32&lt;=7500,0.05,0.18)))))/(IF(AND(N32&gt;7500,O32&gt;7500),N32/1.18,N32)))</f>
        <v>0.252936061549976</v>
      </c>
      <c r="R32" s="15" t="n">
        <f aca="false">IF(OR(N32="",O32=""),"",((O32-N32)/1.18)/N32)</f>
        <v>0.225070224260572</v>
      </c>
      <c r="S32" s="15" t="str">
        <f aca="false">IF(OR(P32="",O32=""),"",(P32-O32)/O32)</f>
        <v/>
      </c>
      <c r="T32" s="9" t="str">
        <f aca="false">IF(AND(D32="",G32&lt;&gt;""),"no dates - assumed 1 night",IF(Q32="","",IF(Q32&gt;1.5,"check: markup &gt;150%",IF(Q32&lt;0,"below cost",""))))</f>
        <v/>
      </c>
    </row>
    <row r="33" customFormat="false" ht="15" hidden="false" customHeight="false" outlineLevel="0" collapsed="false">
      <c r="A33" s="9" t="s">
        <v>11</v>
      </c>
      <c r="B33" s="9" t="s">
        <v>137</v>
      </c>
      <c r="C33" s="9" t="s">
        <v>50</v>
      </c>
      <c r="D33" s="10" t="s">
        <v>48</v>
      </c>
      <c r="E33" s="10" t="s">
        <v>49</v>
      </c>
      <c r="F33" s="9" t="n">
        <f aca="false">IF(OR(D33="",E33=""),1,MAX(1,DATEVALUE(E33)-DATEVALUE(D33)))</f>
        <v>3</v>
      </c>
      <c r="G33" s="11" t="n">
        <v>14061</v>
      </c>
      <c r="H33" s="11" t="n">
        <v>16218</v>
      </c>
      <c r="I33" s="11"/>
      <c r="J33" s="11"/>
      <c r="K33" s="11"/>
      <c r="L33" s="12"/>
      <c r="M33" s="13"/>
      <c r="N33" s="14" t="n">
        <f aca="false">IF(G33="","",G33/F33)</f>
        <v>4687</v>
      </c>
      <c r="O33" s="14" t="n">
        <f aca="false">IF(COUNT(H33:K33)=0,"",MIN(H33:K33)/F33)</f>
        <v>5406</v>
      </c>
      <c r="P33" s="14" t="str">
        <f aca="false">IF(L33="","",L33*95/F33)</f>
        <v/>
      </c>
      <c r="Q33" s="15" t="n">
        <f aca="false">IF(OR(N33="",O33=""),"",(IF(AND(N33&gt;7500,O33&gt;7500),O33/(1+IF(O33&lt;=1000,0,IF(O33&lt;=7500,0.05,0.18)))-IF(AND(N33&gt;7500,O33&gt;7500),N33/1.18,N33),(O33-IF(AND(N33&gt;7500,O33&gt;7500),N33/1.18,N33))/(1+IF(O33&lt;=1000,0,IF(O33&lt;=7500,0.05,0.18)))))/(IF(AND(N33&gt;7500,O33&gt;7500),N33/1.18,N33)))</f>
        <v>0.146098123482378</v>
      </c>
      <c r="R33" s="15" t="n">
        <f aca="false">IF(OR(N33="",O33=""),"",((O33-N33)/1.18)/N33)</f>
        <v>0.130002567505506</v>
      </c>
      <c r="S33" s="15" t="str">
        <f aca="false">IF(OR(P33="",O33=""),"",(P33-O33)/O33)</f>
        <v/>
      </c>
      <c r="T33" s="9" t="str">
        <f aca="false">IF(AND(D33="",G33&lt;&gt;""),"no dates - assumed 1 night",IF(Q33="","",IF(Q33&gt;1.5,"check: markup &gt;150%",IF(Q33&lt;0,"below cost",""))))</f>
        <v/>
      </c>
    </row>
    <row r="34" customFormat="false" ht="15" hidden="false" customHeight="false" outlineLevel="0" collapsed="false">
      <c r="A34" s="9" t="s">
        <v>11</v>
      </c>
      <c r="B34" s="9" t="s">
        <v>137</v>
      </c>
      <c r="C34" s="9" t="s">
        <v>54</v>
      </c>
      <c r="D34" s="10" t="s">
        <v>129</v>
      </c>
      <c r="E34" s="10" t="s">
        <v>130</v>
      </c>
      <c r="F34" s="9" t="n">
        <f aca="false">IF(OR(D34="",E34=""),1,MAX(1,DATEVALUE(E34)-DATEVALUE(D34)))</f>
        <v>3</v>
      </c>
      <c r="G34" s="11" t="n">
        <v>14520</v>
      </c>
      <c r="H34" s="11" t="n">
        <v>16218</v>
      </c>
      <c r="I34" s="11"/>
      <c r="J34" s="11"/>
      <c r="K34" s="11"/>
      <c r="L34" s="12" t="n">
        <v>150005</v>
      </c>
      <c r="M34" s="13"/>
      <c r="N34" s="14" t="n">
        <f aca="false">IF(G34="","",G34/F34)</f>
        <v>4840</v>
      </c>
      <c r="O34" s="14" t="n">
        <f aca="false">IF(COUNT(H34:K34)=0,"",MIN(H34:K34)/F34)</f>
        <v>5406</v>
      </c>
      <c r="P34" s="14" t="n">
        <f aca="false">IF(L34="","",L34*95/F34)</f>
        <v>4750158.33333333</v>
      </c>
      <c r="Q34" s="15" t="n">
        <f aca="false">IF(OR(N34="",O34=""),"",(IF(AND(N34&gt;7500,O34&gt;7500),O34/(1+IF(O34&lt;=1000,0,IF(O34&lt;=7500,0.05,0.18)))-IF(AND(N34&gt;7500,O34&gt;7500),N34/1.18,N34),(O34-IF(AND(N34&gt;7500,O34&gt;7500),N34/1.18,N34))/(1+IF(O34&lt;=1000,0,IF(O34&lt;=7500,0.05,0.18)))))/(IF(AND(N34&gt;7500,O34&gt;7500),N34/1.18,N34)))</f>
        <v>0.111373475009839</v>
      </c>
      <c r="R34" s="15" t="n">
        <f aca="false">IF(OR(N34="",O34=""),"",((O34-N34)/1.18)/N34)</f>
        <v>0.0991035158985852</v>
      </c>
      <c r="S34" s="15" t="n">
        <f aca="false">IF(OR(P34="",O34=""),"",(P34-O34)/O34)</f>
        <v>877.682636576643</v>
      </c>
      <c r="T34" s="9" t="str">
        <f aca="false">IF(AND(D34="",G34&lt;&gt;""),"no dates - assumed 1 night",IF(Q34="","",IF(Q34&gt;1.5,"check: markup &gt;150%",IF(Q34&lt;0,"below cost",""))))</f>
        <v/>
      </c>
    </row>
    <row r="35" customFormat="false" ht="15" hidden="false" customHeight="false" outlineLevel="0" collapsed="false">
      <c r="A35" s="9" t="s">
        <v>11</v>
      </c>
      <c r="B35" s="9" t="s">
        <v>138</v>
      </c>
      <c r="C35" s="9" t="s">
        <v>41</v>
      </c>
      <c r="D35" s="10" t="s">
        <v>99</v>
      </c>
      <c r="E35" s="10" t="s">
        <v>89</v>
      </c>
      <c r="F35" s="9" t="n">
        <f aca="false">IF(OR(D35="",E35=""),1,MAX(1,DATEVALUE(E35)-DATEVALUE(D35)))</f>
        <v>3</v>
      </c>
      <c r="G35" s="11" t="n">
        <v>62241</v>
      </c>
      <c r="H35" s="11" t="n">
        <v>69620</v>
      </c>
      <c r="I35" s="11"/>
      <c r="J35" s="11"/>
      <c r="K35" s="11"/>
      <c r="L35" s="12"/>
      <c r="M35" s="13"/>
      <c r="N35" s="14" t="n">
        <f aca="false">IF(G35="","",G35/F35)</f>
        <v>20747</v>
      </c>
      <c r="O35" s="14" t="n">
        <f aca="false">IF(COUNT(H35:K35)=0,"",MIN(H35:K35)/F35)</f>
        <v>23206.6666666667</v>
      </c>
      <c r="P35" s="14" t="str">
        <f aca="false">IF(L35="","",L35*95/F35)</f>
        <v/>
      </c>
      <c r="Q35" s="15" t="n">
        <f aca="false">IF(OR(N35="",O35=""),"",(IF(AND(N35&gt;7500,O35&gt;7500),O35/(1+IF(O35&lt;=1000,0,IF(O35&lt;=7500,0.05,0.18)))-IF(AND(N35&gt;7500,O35&gt;7500),N35/1.18,N35),(O35-IF(AND(N35&gt;7500,O35&gt;7500),N35/1.18,N35))/(1+IF(O35&lt;=1000,0,IF(O35&lt;=7500,0.05,0.18)))))/(IF(AND(N35&gt;7500,O35&gt;7500),N35/1.18,N35)))</f>
        <v>0.11855529313475</v>
      </c>
      <c r="R35" s="15" t="n">
        <f aca="false">IF(OR(N35="",O35=""),"",((O35-N35)/1.18)/N35)</f>
        <v>0.100470587402331</v>
      </c>
      <c r="S35" s="15" t="str">
        <f aca="false">IF(OR(P35="",O35=""),"",(P35-O35)/O35)</f>
        <v/>
      </c>
      <c r="T35" s="9" t="str">
        <f aca="false">IF(AND(D35="",G35&lt;&gt;""),"no dates - assumed 1 night",IF(Q35="","",IF(Q35&gt;1.5,"check: markup &gt;150%",IF(Q35&lt;0,"below cost",""))))</f>
        <v/>
      </c>
    </row>
    <row r="36" customFormat="false" ht="15" hidden="false" customHeight="false" outlineLevel="0" collapsed="false">
      <c r="A36" s="9" t="s">
        <v>11</v>
      </c>
      <c r="B36" s="9" t="s">
        <v>138</v>
      </c>
      <c r="C36" s="9" t="s">
        <v>44</v>
      </c>
      <c r="D36" s="10" t="s">
        <v>103</v>
      </c>
      <c r="E36" s="10" t="s">
        <v>104</v>
      </c>
      <c r="F36" s="9" t="n">
        <f aca="false">IF(OR(D36="",E36=""),1,MAX(1,DATEVALUE(E36)-DATEVALUE(D36)))</f>
        <v>3</v>
      </c>
      <c r="G36" s="11" t="n">
        <v>62700</v>
      </c>
      <c r="H36" s="11" t="n">
        <v>71390</v>
      </c>
      <c r="I36" s="11"/>
      <c r="J36" s="11"/>
      <c r="K36" s="11"/>
      <c r="L36" s="12"/>
      <c r="M36" s="13"/>
      <c r="N36" s="14" t="n">
        <f aca="false">IF(G36="","",G36/F36)</f>
        <v>20900</v>
      </c>
      <c r="O36" s="14" t="n">
        <f aca="false">IF(COUNT(H36:K36)=0,"",MIN(H36:K36)/F36)</f>
        <v>23796.6666666667</v>
      </c>
      <c r="P36" s="14" t="str">
        <f aca="false">IF(L36="","",L36*95/F36)</f>
        <v/>
      </c>
      <c r="Q36" s="15" t="n">
        <f aca="false">IF(OR(N36="",O36=""),"",(IF(AND(N36&gt;7500,O36&gt;7500),O36/(1+IF(O36&lt;=1000,0,IF(O36&lt;=7500,0.05,0.18)))-IF(AND(N36&gt;7500,O36&gt;7500),N36/1.18,N36),(O36-IF(AND(N36&gt;7500,O36&gt;7500),N36/1.18,N36))/(1+IF(O36&lt;=1000,0,IF(O36&lt;=7500,0.05,0.18)))))/(IF(AND(N36&gt;7500,O36&gt;7500),N36/1.18,N36)))</f>
        <v>0.13859649122807</v>
      </c>
      <c r="R36" s="15" t="n">
        <f aca="false">IF(OR(N36="",O36=""),"",((O36-N36)/1.18)/N36)</f>
        <v>0.11745465358311</v>
      </c>
      <c r="S36" s="15" t="str">
        <f aca="false">IF(OR(P36="",O36=""),"",(P36-O36)/O36)</f>
        <v/>
      </c>
      <c r="T36" s="9" t="str">
        <f aca="false">IF(AND(D36="",G36&lt;&gt;""),"no dates - assumed 1 night",IF(Q36="","",IF(Q36&gt;1.5,"check: markup &gt;150%",IF(Q36&lt;0,"below cost",""))))</f>
        <v/>
      </c>
    </row>
    <row r="37" customFormat="false" ht="15" hidden="false" customHeight="false" outlineLevel="0" collapsed="false">
      <c r="A37" s="9" t="s">
        <v>11</v>
      </c>
      <c r="B37" s="9" t="s">
        <v>138</v>
      </c>
      <c r="C37" s="9" t="s">
        <v>47</v>
      </c>
      <c r="D37" s="10" t="s">
        <v>127</v>
      </c>
      <c r="E37" s="10" t="s">
        <v>128</v>
      </c>
      <c r="F37" s="9" t="n">
        <f aca="false">IF(OR(D37="",E37=""),1,MAX(1,DATEVALUE(E37)-DATEVALUE(D37)))</f>
        <v>3</v>
      </c>
      <c r="G37" s="11" t="n">
        <v>81783</v>
      </c>
      <c r="H37" s="11" t="n">
        <v>92040</v>
      </c>
      <c r="I37" s="11"/>
      <c r="J37" s="11"/>
      <c r="K37" s="11"/>
      <c r="L37" s="12"/>
      <c r="M37" s="13"/>
      <c r="N37" s="14" t="n">
        <f aca="false">IF(G37="","",G37/F37)</f>
        <v>27261</v>
      </c>
      <c r="O37" s="14" t="n">
        <f aca="false">IF(COUNT(H37:K37)=0,"",MIN(H37:K37)/F37)</f>
        <v>30680</v>
      </c>
      <c r="P37" s="14" t="str">
        <f aca="false">IF(L37="","",L37*95/F37)</f>
        <v/>
      </c>
      <c r="Q37" s="15" t="n">
        <f aca="false">IF(OR(N37="",O37=""),"",(IF(AND(N37&gt;7500,O37&gt;7500),O37/(1+IF(O37&lt;=1000,0,IF(O37&lt;=7500,0.05,0.18)))-IF(AND(N37&gt;7500,O37&gt;7500),N37/1.18,N37),(O37-IF(AND(N37&gt;7500,O37&gt;7500),N37/1.18,N37))/(1+IF(O37&lt;=1000,0,IF(O37&lt;=7500,0.05,0.18)))))/(IF(AND(N37&gt;7500,O37&gt;7500),N37/1.18,N37)))</f>
        <v>0.125417262756318</v>
      </c>
      <c r="R37" s="15" t="n">
        <f aca="false">IF(OR(N37="",O37=""),"",((O37-N37)/1.18)/N37)</f>
        <v>0.106285815895185</v>
      </c>
      <c r="S37" s="15" t="str">
        <f aca="false">IF(OR(P37="",O37=""),"",(P37-O37)/O37)</f>
        <v/>
      </c>
      <c r="T37" s="9" t="str">
        <f aca="false">IF(AND(D37="",G37&lt;&gt;""),"no dates - assumed 1 night",IF(Q37="","",IF(Q37&gt;1.5,"check: markup &gt;150%",IF(Q37&lt;0,"below cost",""))))</f>
        <v/>
      </c>
    </row>
    <row r="38" customFormat="false" ht="15" hidden="false" customHeight="false" outlineLevel="0" collapsed="false">
      <c r="A38" s="9" t="s">
        <v>11</v>
      </c>
      <c r="B38" s="9" t="s">
        <v>138</v>
      </c>
      <c r="C38" s="9" t="s">
        <v>50</v>
      </c>
      <c r="D38" s="10" t="s">
        <v>48</v>
      </c>
      <c r="E38" s="10" t="s">
        <v>49</v>
      </c>
      <c r="F38" s="9" t="n">
        <f aca="false">IF(OR(D38="",E38=""),1,MAX(1,DATEVALUE(E38)-DATEVALUE(D38)))</f>
        <v>3</v>
      </c>
      <c r="G38" s="11" t="n">
        <v>176514</v>
      </c>
      <c r="H38" s="11" t="n">
        <v>197060</v>
      </c>
      <c r="I38" s="11"/>
      <c r="J38" s="11"/>
      <c r="K38" s="11"/>
      <c r="L38" s="12"/>
      <c r="M38" s="13"/>
      <c r="N38" s="14" t="n">
        <f aca="false">IF(G38="","",G38/F38)</f>
        <v>58838</v>
      </c>
      <c r="O38" s="14" t="n">
        <f aca="false">IF(COUNT(H38:K38)=0,"",MIN(H38:K38)/F38)</f>
        <v>65686.6666666667</v>
      </c>
      <c r="P38" s="14" t="str">
        <f aca="false">IF(L38="","",L38*95/F38)</f>
        <v/>
      </c>
      <c r="Q38" s="15" t="n">
        <f aca="false">IF(OR(N38="",O38=""),"",(IF(AND(N38&gt;7500,O38&gt;7500),O38/(1+IF(O38&lt;=1000,0,IF(O38&lt;=7500,0.05,0.18)))-IF(AND(N38&gt;7500,O38&gt;7500),N38/1.18,N38),(O38-IF(AND(N38&gt;7500,O38&gt;7500),N38/1.18,N38))/(1+IF(O38&lt;=1000,0,IF(O38&lt;=7500,0.05,0.18)))))/(IF(AND(N38&gt;7500,O38&gt;7500),N38/1.18,N38)))</f>
        <v>0.116398699253317</v>
      </c>
      <c r="R38" s="15" t="n">
        <f aca="false">IF(OR(N38="",O38=""),"",((O38-N38)/1.18)/N38)</f>
        <v>0.0986429654689128</v>
      </c>
      <c r="S38" s="15" t="str">
        <f aca="false">IF(OR(P38="",O38=""),"",(P38-O38)/O38)</f>
        <v/>
      </c>
      <c r="T38" s="9" t="str">
        <f aca="false">IF(AND(D38="",G38&lt;&gt;""),"no dates - assumed 1 night",IF(Q38="","",IF(Q38&gt;1.5,"check: markup &gt;150%",IF(Q38&lt;0,"below cost",""))))</f>
        <v/>
      </c>
    </row>
    <row r="39" customFormat="false" ht="15" hidden="false" customHeight="false" outlineLevel="0" collapsed="false">
      <c r="A39" s="9" t="s">
        <v>11</v>
      </c>
      <c r="B39" s="9" t="s">
        <v>138</v>
      </c>
      <c r="C39" s="9" t="s">
        <v>54</v>
      </c>
      <c r="D39" s="16"/>
      <c r="E39" s="16"/>
      <c r="F39" s="9" t="n">
        <f aca="false">IF(OR(D39="",E39=""),1,MAX(1,DATEVALUE(E39)-DATEVALUE(D39)))</f>
        <v>1</v>
      </c>
      <c r="G39" s="11" t="n">
        <v>160660</v>
      </c>
      <c r="H39" s="11" t="n">
        <v>179360</v>
      </c>
      <c r="I39" s="11"/>
      <c r="J39" s="11"/>
      <c r="K39" s="11"/>
      <c r="L39" s="12"/>
      <c r="M39" s="13"/>
      <c r="N39" s="14" t="n">
        <f aca="false">IF(G39="","",G39/F39)</f>
        <v>160660</v>
      </c>
      <c r="O39" s="14" t="n">
        <f aca="false">IF(COUNT(H39:K39)=0,"",MIN(H39:K39)/F39)</f>
        <v>179360</v>
      </c>
      <c r="P39" s="14" t="str">
        <f aca="false">IF(L39="","",L39*95/F39)</f>
        <v/>
      </c>
      <c r="Q39" s="15" t="n">
        <f aca="false">IF(OR(N39="",O39=""),"",(IF(AND(N39&gt;7500,O39&gt;7500),O39/(1+IF(O39&lt;=1000,0,IF(O39&lt;=7500,0.05,0.18)))-IF(AND(N39&gt;7500,O39&gt;7500),N39/1.18,N39),(O39-IF(AND(N39&gt;7500,O39&gt;7500),N39/1.18,N39))/(1+IF(O39&lt;=1000,0,IF(O39&lt;=7500,0.05,0.18)))))/(IF(AND(N39&gt;7500,O39&gt;7500),N39/1.18,N39)))</f>
        <v>0.116394871156479</v>
      </c>
      <c r="R39" s="15" t="n">
        <f aca="false">IF(OR(N39="",O39=""),"",((O39-N39)/1.18)/N39)</f>
        <v>0.0986397213190505</v>
      </c>
      <c r="S39" s="15" t="str">
        <f aca="false">IF(OR(P39="",O39=""),"",(P39-O39)/O39)</f>
        <v/>
      </c>
      <c r="T39" s="9" t="str">
        <f aca="false">IF(AND(D39="",G39&lt;&gt;""),"no dates - assumed 1 night",IF(Q39="","",IF(Q39&gt;1.5,"check: markup &gt;150%",IF(Q39&lt;0,"below cost",""))))</f>
        <v>no dates - assumed 1 night</v>
      </c>
    </row>
    <row r="40" customFormat="false" ht="15" hidden="false" customHeight="false" outlineLevel="0" collapsed="false">
      <c r="A40" s="9" t="s">
        <v>11</v>
      </c>
      <c r="B40" s="9" t="s">
        <v>139</v>
      </c>
      <c r="C40" s="9" t="s">
        <v>50</v>
      </c>
      <c r="D40" s="10" t="s">
        <v>48</v>
      </c>
      <c r="E40" s="10" t="s">
        <v>49</v>
      </c>
      <c r="F40" s="9" t="n">
        <f aca="false">IF(OR(D40="",E40=""),1,MAX(1,DATEVALUE(E40)-DATEVALUE(D40)))</f>
        <v>3</v>
      </c>
      <c r="G40" s="11"/>
      <c r="H40" s="11" t="n">
        <v>59040</v>
      </c>
      <c r="I40" s="11"/>
      <c r="J40" s="11"/>
      <c r="K40" s="11"/>
      <c r="L40" s="12"/>
      <c r="M40" s="13"/>
      <c r="N40" s="14" t="str">
        <f aca="false">IF(G40="","",G40/F40)</f>
        <v/>
      </c>
      <c r="O40" s="14" t="n">
        <f aca="false">IF(COUNT(H40:K40)=0,"",MIN(H40:K40)/F40)</f>
        <v>19680</v>
      </c>
      <c r="P40" s="14" t="str">
        <f aca="false">IF(L40="","",L40*95/F40)</f>
        <v/>
      </c>
      <c r="Q40" s="15" t="str">
        <f aca="false">IF(OR(N40="",O40=""),"",(IF(AND(N40&gt;7500,O40&gt;7500),O40/(1+IF(O40&lt;=1000,0,IF(O40&lt;=7500,0.05,0.18)))-IF(AND(N40&gt;7500,O40&gt;7500),N40/1.18,N40),(O40-IF(AND(N40&gt;7500,O40&gt;7500),N40/1.18,N40))/(1+IF(O40&lt;=1000,0,IF(O40&lt;=7500,0.05,0.18)))))/(IF(AND(N40&gt;7500,O40&gt;7500),N40/1.18,N40)))</f>
        <v/>
      </c>
      <c r="R40" s="15" t="str">
        <f aca="false">IF(OR(N40="",O40=""),"",((O40-N40)/1.18)/N40)</f>
        <v/>
      </c>
      <c r="S40" s="15" t="str">
        <f aca="false">IF(OR(P40="",O40=""),"",(P40-O40)/O40)</f>
        <v/>
      </c>
      <c r="T40" s="9" t="str">
        <f aca="false">IF(AND(D40="",G40&lt;&gt;""),"no dates - assumed 1 night",IF(Q40="","",IF(Q40&gt;1.5,"check: markup &gt;150%",IF(Q40&lt;0,"below cost",""))))</f>
        <v/>
      </c>
    </row>
    <row r="41" customFormat="false" ht="15" hidden="false" customHeight="false" outlineLevel="0" collapsed="false">
      <c r="A41" s="9" t="s">
        <v>11</v>
      </c>
      <c r="B41" s="9" t="s">
        <v>140</v>
      </c>
      <c r="C41" s="9" t="s">
        <v>41</v>
      </c>
      <c r="D41" s="10" t="s">
        <v>99</v>
      </c>
      <c r="E41" s="10" t="s">
        <v>89</v>
      </c>
      <c r="F41" s="9" t="n">
        <f aca="false">IF(OR(D41="",E41=""),1,MAX(1,DATEVALUE(E41)-DATEVALUE(D41)))</f>
        <v>3</v>
      </c>
      <c r="G41" s="11" t="n">
        <v>29218</v>
      </c>
      <c r="H41" s="11" t="n">
        <v>46494</v>
      </c>
      <c r="I41" s="11"/>
      <c r="J41" s="11"/>
      <c r="K41" s="11"/>
      <c r="L41" s="12"/>
      <c r="M41" s="13"/>
      <c r="N41" s="14" t="n">
        <f aca="false">IF(G41="","",G41/F41)</f>
        <v>9739.33333333333</v>
      </c>
      <c r="O41" s="14" t="n">
        <f aca="false">IF(COUNT(H41:K41)=0,"",MIN(H41:K41)/F41)</f>
        <v>15498</v>
      </c>
      <c r="P41" s="14" t="str">
        <f aca="false">IF(L41="","",L41*95/F41)</f>
        <v/>
      </c>
      <c r="Q41" s="15" t="n">
        <f aca="false">IF(OR(N41="",O41=""),"",(IF(AND(N41&gt;7500,O41&gt;7500),O41/(1+IF(O41&lt;=1000,0,IF(O41&lt;=7500,0.05,0.18)))-IF(AND(N41&gt;7500,O41&gt;7500),N41/1.18,N41),(O41-IF(AND(N41&gt;7500,O41&gt;7500),N41/1.18,N41))/(1+IF(O41&lt;=1000,0,IF(O41&lt;=7500,0.05,0.18)))))/(IF(AND(N41&gt;7500,O41&gt;7500),N41/1.18,N41)))</f>
        <v>0.591279348346909</v>
      </c>
      <c r="R41" s="15" t="n">
        <f aca="false">IF(OR(N41="",O41=""),"",((O41-N41)/1.18)/N41)</f>
        <v>0.50108419351433</v>
      </c>
      <c r="S41" s="15" t="str">
        <f aca="false">IF(OR(P41="",O41=""),"",(P41-O41)/O41)</f>
        <v/>
      </c>
      <c r="T41" s="9" t="str">
        <f aca="false">IF(AND(D41="",G41&lt;&gt;""),"no dates - assumed 1 night",IF(Q41="","",IF(Q41&gt;1.5,"check: markup &gt;150%",IF(Q41&lt;0,"below cost",""))))</f>
        <v/>
      </c>
    </row>
    <row r="42" customFormat="false" ht="15" hidden="false" customHeight="false" outlineLevel="0" collapsed="false">
      <c r="A42" s="9" t="s">
        <v>11</v>
      </c>
      <c r="B42" s="9" t="s">
        <v>140</v>
      </c>
      <c r="C42" s="9" t="s">
        <v>44</v>
      </c>
      <c r="D42" s="10" t="s">
        <v>103</v>
      </c>
      <c r="E42" s="10" t="s">
        <v>104</v>
      </c>
      <c r="F42" s="9" t="n">
        <f aca="false">IF(OR(D42="",E42=""),1,MAX(1,DATEVALUE(E42)-DATEVALUE(D42)))</f>
        <v>3</v>
      </c>
      <c r="G42" s="11" t="n">
        <v>29218</v>
      </c>
      <c r="H42" s="11" t="n">
        <v>40959</v>
      </c>
      <c r="I42" s="11"/>
      <c r="J42" s="11"/>
      <c r="K42" s="11"/>
      <c r="L42" s="12"/>
      <c r="M42" s="13"/>
      <c r="N42" s="14" t="n">
        <f aca="false">IF(G42="","",G42/F42)</f>
        <v>9739.33333333333</v>
      </c>
      <c r="O42" s="14" t="n">
        <f aca="false">IF(COUNT(H42:K42)=0,"",MIN(H42:K42)/F42)</f>
        <v>13653</v>
      </c>
      <c r="P42" s="14" t="str">
        <f aca="false">IF(L42="","",L42*95/F42)</f>
        <v/>
      </c>
      <c r="Q42" s="15" t="n">
        <f aca="false">IF(OR(N42="",O42=""),"",(IF(AND(N42&gt;7500,O42&gt;7500),O42/(1+IF(O42&lt;=1000,0,IF(O42&lt;=7500,0.05,0.18)))-IF(AND(N42&gt;7500,O42&gt;7500),N42/1.18,N42),(O42-IF(AND(N42&gt;7500,O42&gt;7500),N42/1.18,N42))/(1+IF(O42&lt;=1000,0,IF(O42&lt;=7500,0.05,0.18)))))/(IF(AND(N42&gt;7500,O42&gt;7500),N42/1.18,N42)))</f>
        <v>0.401841330686563</v>
      </c>
      <c r="R42" s="15" t="n">
        <f aca="false">IF(OR(N42="",O42=""),"",((O42-N42)/1.18)/N42)</f>
        <v>0.340543500581833</v>
      </c>
      <c r="S42" s="15" t="str">
        <f aca="false">IF(OR(P42="",O42=""),"",(P42-O42)/O42)</f>
        <v/>
      </c>
      <c r="T42" s="9" t="str">
        <f aca="false">IF(AND(D42="",G42&lt;&gt;""),"no dates - assumed 1 night",IF(Q42="","",IF(Q42&gt;1.5,"check: markup &gt;150%",IF(Q42&lt;0,"below cost",""))))</f>
        <v/>
      </c>
    </row>
    <row r="43" customFormat="false" ht="15" hidden="false" customHeight="false" outlineLevel="0" collapsed="false">
      <c r="A43" s="9" t="s">
        <v>11</v>
      </c>
      <c r="B43" s="9" t="s">
        <v>140</v>
      </c>
      <c r="C43" s="9" t="s">
        <v>47</v>
      </c>
      <c r="D43" s="10" t="s">
        <v>127</v>
      </c>
      <c r="E43" s="10" t="s">
        <v>128</v>
      </c>
      <c r="F43" s="9" t="n">
        <f aca="false">IF(OR(D43="",E43=""),1,MAX(1,DATEVALUE(E43)-DATEVALUE(D43)))</f>
        <v>3</v>
      </c>
      <c r="G43" s="11" t="n">
        <v>39337</v>
      </c>
      <c r="H43" s="11" t="n">
        <v>46494</v>
      </c>
      <c r="I43" s="11"/>
      <c r="J43" s="11"/>
      <c r="K43" s="11"/>
      <c r="L43" s="12"/>
      <c r="M43" s="13"/>
      <c r="N43" s="14" t="n">
        <f aca="false">IF(G43="","",G43/F43)</f>
        <v>13112.3333333333</v>
      </c>
      <c r="O43" s="14" t="n">
        <f aca="false">IF(COUNT(H43:K43)=0,"",MIN(H43:K43)/F43)</f>
        <v>15498</v>
      </c>
      <c r="P43" s="14" t="str">
        <f aca="false">IF(L43="","",L43*95/F43)</f>
        <v/>
      </c>
      <c r="Q43" s="15" t="n">
        <f aca="false">IF(OR(N43="",O43=""),"",(IF(AND(N43&gt;7500,O43&gt;7500),O43/(1+IF(O43&lt;=1000,0,IF(O43&lt;=7500,0.05,0.18)))-IF(AND(N43&gt;7500,O43&gt;7500),N43/1.18,N43),(O43-IF(AND(N43&gt;7500,O43&gt;7500),N43/1.18,N43))/(1+IF(O43&lt;=1000,0,IF(O43&lt;=7500,0.05,0.18)))))/(IF(AND(N43&gt;7500,O43&gt;7500),N43/1.18,N43)))</f>
        <v>0.181940666548034</v>
      </c>
      <c r="R43" s="15" t="n">
        <f aca="false">IF(OR(N43="",O43=""),"",((O43-N43)/1.18)/N43)</f>
        <v>0.154187005549181</v>
      </c>
      <c r="S43" s="15" t="str">
        <f aca="false">IF(OR(P43="",O43=""),"",(P43-O43)/O43)</f>
        <v/>
      </c>
      <c r="T43" s="9" t="str">
        <f aca="false">IF(AND(D43="",G43&lt;&gt;""),"no dates - assumed 1 night",IF(Q43="","",IF(Q43&gt;1.5,"check: markup &gt;150%",IF(Q43&lt;0,"below cost",""))))</f>
        <v/>
      </c>
    </row>
    <row r="44" customFormat="false" ht="15" hidden="false" customHeight="false" outlineLevel="0" collapsed="false">
      <c r="A44" s="9" t="s">
        <v>11</v>
      </c>
      <c r="B44" s="9" t="s">
        <v>140</v>
      </c>
      <c r="C44" s="9" t="s">
        <v>50</v>
      </c>
      <c r="D44" s="10" t="s">
        <v>48</v>
      </c>
      <c r="E44" s="10" t="s">
        <v>49</v>
      </c>
      <c r="F44" s="9" t="n">
        <f aca="false">IF(OR(D44="",E44=""),1,MAX(1,DATEVALUE(E44)-DATEVALUE(D44)))</f>
        <v>3</v>
      </c>
      <c r="G44" s="11" t="n">
        <v>39337</v>
      </c>
      <c r="H44" s="11" t="n">
        <v>46494</v>
      </c>
      <c r="I44" s="11"/>
      <c r="J44" s="11"/>
      <c r="K44" s="11"/>
      <c r="L44" s="12"/>
      <c r="M44" s="13"/>
      <c r="N44" s="14" t="n">
        <f aca="false">IF(G44="","",G44/F44)</f>
        <v>13112.3333333333</v>
      </c>
      <c r="O44" s="14" t="n">
        <f aca="false">IF(COUNT(H44:K44)=0,"",MIN(H44:K44)/F44)</f>
        <v>15498</v>
      </c>
      <c r="P44" s="14" t="str">
        <f aca="false">IF(L44="","",L44*95/F44)</f>
        <v/>
      </c>
      <c r="Q44" s="15" t="n">
        <f aca="false">IF(OR(N44="",O44=""),"",(IF(AND(N44&gt;7500,O44&gt;7500),O44/(1+IF(O44&lt;=1000,0,IF(O44&lt;=7500,0.05,0.18)))-IF(AND(N44&gt;7500,O44&gt;7500),N44/1.18,N44),(O44-IF(AND(N44&gt;7500,O44&gt;7500),N44/1.18,N44))/(1+IF(O44&lt;=1000,0,IF(O44&lt;=7500,0.05,0.18)))))/(IF(AND(N44&gt;7500,O44&gt;7500),N44/1.18,N44)))</f>
        <v>0.181940666548034</v>
      </c>
      <c r="R44" s="15" t="n">
        <f aca="false">IF(OR(N44="",O44=""),"",((O44-N44)/1.18)/N44)</f>
        <v>0.154187005549181</v>
      </c>
      <c r="S44" s="15" t="str">
        <f aca="false">IF(OR(P44="",O44=""),"",(P44-O44)/O44)</f>
        <v/>
      </c>
      <c r="T44" s="9" t="str">
        <f aca="false">IF(AND(D44="",G44&lt;&gt;""),"no dates - assumed 1 night",IF(Q44="","",IF(Q44&gt;1.5,"check: markup &gt;150%",IF(Q44&lt;0,"below cost",""))))</f>
        <v/>
      </c>
    </row>
    <row r="45" customFormat="false" ht="15" hidden="false" customHeight="false" outlineLevel="0" collapsed="false">
      <c r="A45" s="9" t="s">
        <v>11</v>
      </c>
      <c r="B45" s="9" t="s">
        <v>141</v>
      </c>
      <c r="C45" s="9" t="s">
        <v>41</v>
      </c>
      <c r="D45" s="10" t="s">
        <v>99</v>
      </c>
      <c r="E45" s="10" t="s">
        <v>89</v>
      </c>
      <c r="F45" s="9" t="n">
        <f aca="false">IF(OR(D45="",E45=""),1,MAX(1,DATEVALUE(E45)-DATEVALUE(D45)))</f>
        <v>3</v>
      </c>
      <c r="G45" s="11" t="n">
        <v>31947</v>
      </c>
      <c r="H45" s="11" t="n">
        <v>36564</v>
      </c>
      <c r="I45" s="11"/>
      <c r="J45" s="11"/>
      <c r="K45" s="11"/>
      <c r="L45" s="12"/>
      <c r="M45" s="13"/>
      <c r="N45" s="14" t="n">
        <f aca="false">IF(G45="","",G45/F45)</f>
        <v>10649</v>
      </c>
      <c r="O45" s="14" t="n">
        <f aca="false">IF(COUNT(H45:K45)=0,"",MIN(H45:K45)/F45)</f>
        <v>12188</v>
      </c>
      <c r="P45" s="14" t="str">
        <f aca="false">IF(L45="","",L45*95/F45)</f>
        <v/>
      </c>
      <c r="Q45" s="15" t="n">
        <f aca="false">IF(OR(N45="",O45=""),"",(IF(AND(N45&gt;7500,O45&gt;7500),O45/(1+IF(O45&lt;=1000,0,IF(O45&lt;=7500,0.05,0.18)))-IF(AND(N45&gt;7500,O45&gt;7500),N45/1.18,N45),(O45-IF(AND(N45&gt;7500,O45&gt;7500),N45/1.18,N45))/(1+IF(O45&lt;=1000,0,IF(O45&lt;=7500,0.05,0.18)))))/(IF(AND(N45&gt;7500,O45&gt;7500),N45/1.18,N45)))</f>
        <v>0.144520612264062</v>
      </c>
      <c r="R45" s="15" t="n">
        <f aca="false">IF(OR(N45="",O45=""),"",((O45-N45)/1.18)/N45)</f>
        <v>0.122475095139036</v>
      </c>
      <c r="S45" s="15" t="str">
        <f aca="false">IF(OR(P45="",O45=""),"",(P45-O45)/O45)</f>
        <v/>
      </c>
      <c r="T45" s="9" t="str">
        <f aca="false">IF(AND(D45="",G45&lt;&gt;""),"no dates - assumed 1 night",IF(Q45="","",IF(Q45&gt;1.5,"check: markup &gt;150%",IF(Q45&lt;0,"below cost",""))))</f>
        <v/>
      </c>
    </row>
    <row r="46" customFormat="false" ht="15" hidden="false" customHeight="false" outlineLevel="0" collapsed="false">
      <c r="A46" s="9" t="s">
        <v>11</v>
      </c>
      <c r="B46" s="9" t="s">
        <v>141</v>
      </c>
      <c r="C46" s="9" t="s">
        <v>44</v>
      </c>
      <c r="D46" s="10" t="s">
        <v>103</v>
      </c>
      <c r="E46" s="10" t="s">
        <v>104</v>
      </c>
      <c r="F46" s="9" t="n">
        <f aca="false">IF(OR(D46="",E46=""),1,MAX(1,DATEVALUE(E46)-DATEVALUE(D46)))</f>
        <v>3</v>
      </c>
      <c r="G46" s="11" t="n">
        <v>30206</v>
      </c>
      <c r="H46" s="11" t="n">
        <v>34572</v>
      </c>
      <c r="I46" s="11"/>
      <c r="J46" s="11"/>
      <c r="K46" s="11"/>
      <c r="L46" s="12"/>
      <c r="M46" s="13"/>
      <c r="N46" s="14" t="n">
        <f aca="false">IF(G46="","",G46/F46)</f>
        <v>10068.6666666667</v>
      </c>
      <c r="O46" s="14" t="n">
        <f aca="false">IF(COUNT(H46:K46)=0,"",MIN(H46:K46)/F46)</f>
        <v>11524</v>
      </c>
      <c r="P46" s="14" t="str">
        <f aca="false">IF(L46="","",L46*95/F46)</f>
        <v/>
      </c>
      <c r="Q46" s="15" t="n">
        <f aca="false">IF(OR(N46="",O46=""),"",(IF(AND(N46&gt;7500,O46&gt;7500),O46/(1+IF(O46&lt;=1000,0,IF(O46&lt;=7500,0.05,0.18)))-IF(AND(N46&gt;7500,O46&gt;7500),N46/1.18,N46),(O46-IF(AND(N46&gt;7500,O46&gt;7500),N46/1.18,N46))/(1+IF(O46&lt;=1000,0,IF(O46&lt;=7500,0.05,0.18)))))/(IF(AND(N46&gt;7500,O46&gt;7500),N46/1.18,N46)))</f>
        <v>0.144540819704695</v>
      </c>
      <c r="R46" s="15" t="n">
        <f aca="false">IF(OR(N46="",O46=""),"",((O46-N46)/1.18)/N46)</f>
        <v>0.122492220088724</v>
      </c>
      <c r="S46" s="15" t="str">
        <f aca="false">IF(OR(P46="",O46=""),"",(P46-O46)/O46)</f>
        <v/>
      </c>
      <c r="T46" s="9" t="str">
        <f aca="false">IF(AND(D46="",G46&lt;&gt;""),"no dates - assumed 1 night",IF(Q46="","",IF(Q46&gt;1.5,"check: markup &gt;150%",IF(Q46&lt;0,"below cost",""))))</f>
        <v/>
      </c>
    </row>
    <row r="47" customFormat="false" ht="15" hidden="false" customHeight="false" outlineLevel="0" collapsed="false">
      <c r="A47" s="9" t="s">
        <v>11</v>
      </c>
      <c r="B47" s="9" t="s">
        <v>141</v>
      </c>
      <c r="C47" s="9" t="s">
        <v>47</v>
      </c>
      <c r="D47" s="10" t="s">
        <v>127</v>
      </c>
      <c r="E47" s="10" t="s">
        <v>128</v>
      </c>
      <c r="F47" s="9" t="n">
        <f aca="false">IF(OR(D47="",E47=""),1,MAX(1,DATEVALUE(E47)-DATEVALUE(D47)))</f>
        <v>3</v>
      </c>
      <c r="G47" s="11" t="n">
        <v>35252</v>
      </c>
      <c r="H47" s="11" t="n">
        <v>46029</v>
      </c>
      <c r="I47" s="11"/>
      <c r="J47" s="11"/>
      <c r="K47" s="11"/>
      <c r="L47" s="12"/>
      <c r="M47" s="13"/>
      <c r="N47" s="14" t="n">
        <f aca="false">IF(G47="","",G47/F47)</f>
        <v>11750.6666666667</v>
      </c>
      <c r="O47" s="14" t="n">
        <f aca="false">IF(COUNT(H47:K47)=0,"",MIN(H47:K47)/F47)</f>
        <v>15343</v>
      </c>
      <c r="P47" s="14" t="str">
        <f aca="false">IF(L47="","",L47*95/F47)</f>
        <v/>
      </c>
      <c r="Q47" s="15" t="n">
        <f aca="false">IF(OR(N47="",O47=""),"",(IF(AND(N47&gt;7500,O47&gt;7500),O47/(1+IF(O47&lt;=1000,0,IF(O47&lt;=7500,0.05,0.18)))-IF(AND(N47&gt;7500,O47&gt;7500),N47/1.18,N47),(O47-IF(AND(N47&gt;7500,O47&gt;7500),N47/1.18,N47))/(1+IF(O47&lt;=1000,0,IF(O47&lt;=7500,0.05,0.18)))))/(IF(AND(N47&gt;7500,O47&gt;7500),N47/1.18,N47)))</f>
        <v>0.305713151026892</v>
      </c>
      <c r="R47" s="15" t="n">
        <f aca="false">IF(OR(N47="",O47=""),"",((O47-N47)/1.18)/N47)</f>
        <v>0.259078941548214</v>
      </c>
      <c r="S47" s="15" t="str">
        <f aca="false">IF(OR(P47="",O47=""),"",(P47-O47)/O47)</f>
        <v/>
      </c>
      <c r="T47" s="9" t="str">
        <f aca="false">IF(AND(D47="",G47&lt;&gt;""),"no dates - assumed 1 night",IF(Q47="","",IF(Q47&gt;1.5,"check: markup &gt;150%",IF(Q47&lt;0,"below cost",""))))</f>
        <v/>
      </c>
    </row>
    <row r="48" customFormat="false" ht="15" hidden="false" customHeight="false" outlineLevel="0" collapsed="false">
      <c r="A48" s="9" t="s">
        <v>11</v>
      </c>
      <c r="B48" s="9" t="s">
        <v>141</v>
      </c>
      <c r="C48" s="9" t="s">
        <v>50</v>
      </c>
      <c r="D48" s="10" t="s">
        <v>48</v>
      </c>
      <c r="E48" s="10" t="s">
        <v>49</v>
      </c>
      <c r="F48" s="9" t="n">
        <f aca="false">IF(OR(D48="",E48=""),1,MAX(1,DATEVALUE(E48)-DATEVALUE(D48)))</f>
        <v>3</v>
      </c>
      <c r="G48" s="11" t="n">
        <v>41938</v>
      </c>
      <c r="H48" s="11" t="n">
        <v>53999</v>
      </c>
      <c r="I48" s="11"/>
      <c r="J48" s="11"/>
      <c r="K48" s="11"/>
      <c r="L48" s="12"/>
      <c r="M48" s="13"/>
      <c r="N48" s="14" t="n">
        <f aca="false">IF(G48="","",G48/F48)</f>
        <v>13979.3333333333</v>
      </c>
      <c r="O48" s="14" t="n">
        <f aca="false">IF(COUNT(H48:K48)=0,"",MIN(H48:K48)/F48)</f>
        <v>17999.6666666667</v>
      </c>
      <c r="P48" s="14" t="str">
        <f aca="false">IF(L48="","",L48*95/F48)</f>
        <v/>
      </c>
      <c r="Q48" s="15" t="n">
        <f aca="false">IF(OR(N48="",O48=""),"",(IF(AND(N48&gt;7500,O48&gt;7500),O48/(1+IF(O48&lt;=1000,0,IF(O48&lt;=7500,0.05,0.18)))-IF(AND(N48&gt;7500,O48&gt;7500),N48/1.18,N48),(O48-IF(AND(N48&gt;7500,O48&gt;7500),N48/1.18,N48))/(1+IF(O48&lt;=1000,0,IF(O48&lt;=7500,0.05,0.18)))))/(IF(AND(N48&gt;7500,O48&gt;7500),N48/1.18,N48)))</f>
        <v>0.287591206066097</v>
      </c>
      <c r="R48" s="15" t="n">
        <f aca="false">IF(OR(N48="",O48=""),"",((O48-N48)/1.18)/N48)</f>
        <v>0.243721361072964</v>
      </c>
      <c r="S48" s="15" t="str">
        <f aca="false">IF(OR(P48="",O48=""),"",(P48-O48)/O48)</f>
        <v/>
      </c>
      <c r="T48" s="9" t="str">
        <f aca="false">IF(AND(D48="",G48&lt;&gt;""),"no dates - assumed 1 night",IF(Q48="","",IF(Q48&gt;1.5,"check: markup &gt;150%",IF(Q48&lt;0,"below cost",""))))</f>
        <v/>
      </c>
    </row>
    <row r="49" customFormat="false" ht="15" hidden="false" customHeight="false" outlineLevel="0" collapsed="false">
      <c r="A49" s="9" t="s">
        <v>11</v>
      </c>
      <c r="B49" s="9" t="s">
        <v>141</v>
      </c>
      <c r="C49" s="9" t="s">
        <v>54</v>
      </c>
      <c r="D49" s="10" t="s">
        <v>129</v>
      </c>
      <c r="E49" s="10" t="s">
        <v>130</v>
      </c>
      <c r="F49" s="9" t="n">
        <f aca="false">IF(OR(D49="",E49=""),1,MAX(1,DATEVALUE(E49)-DATEVALUE(D49)))</f>
        <v>3</v>
      </c>
      <c r="G49" s="11" t="n">
        <v>49121</v>
      </c>
      <c r="H49" s="11" t="n">
        <v>55992</v>
      </c>
      <c r="I49" s="11"/>
      <c r="J49" s="11"/>
      <c r="K49" s="11"/>
      <c r="L49" s="12"/>
      <c r="M49" s="13"/>
      <c r="N49" s="14" t="n">
        <f aca="false">IF(G49="","",G49/F49)</f>
        <v>16373.6666666667</v>
      </c>
      <c r="O49" s="14" t="n">
        <f aca="false">IF(COUNT(H49:K49)=0,"",MIN(H49:K49)/F49)</f>
        <v>18664</v>
      </c>
      <c r="P49" s="14" t="str">
        <f aca="false">IF(L49="","",L49*95/F49)</f>
        <v/>
      </c>
      <c r="Q49" s="15" t="n">
        <f aca="false">IF(OR(N49="",O49=""),"",(IF(AND(N49&gt;7500,O49&gt;7500),O49/(1+IF(O49&lt;=1000,0,IF(O49&lt;=7500,0.05,0.18)))-IF(AND(N49&gt;7500,O49&gt;7500),N49/1.18,N49),(O49-IF(AND(N49&gt;7500,O49&gt;7500),N49/1.18,N49))/(1+IF(O49&lt;=1000,0,IF(O49&lt;=7500,0.05,0.18)))))/(IF(AND(N49&gt;7500,O49&gt;7500),N49/1.18,N49)))</f>
        <v>0.139879074123084</v>
      </c>
      <c r="R49" s="15" t="n">
        <f aca="false">IF(OR(N49="",O49=""),"",((O49-N49)/1.18)/N49)</f>
        <v>0.118541588239902</v>
      </c>
      <c r="S49" s="15" t="str">
        <f aca="false">IF(OR(P49="",O49=""),"",(P49-O49)/O49)</f>
        <v/>
      </c>
      <c r="T49" s="9" t="str">
        <f aca="false">IF(AND(D49="",G49&lt;&gt;""),"no dates - assumed 1 night",IF(Q49="","",IF(Q49&gt;1.5,"check: markup &gt;150%",IF(Q49&lt;0,"below cost",""))))</f>
        <v/>
      </c>
    </row>
    <row r="50" customFormat="false" ht="15" hidden="false" customHeight="false" outlineLevel="0" collapsed="false">
      <c r="A50" s="9" t="s">
        <v>11</v>
      </c>
      <c r="B50" s="9" t="s">
        <v>142</v>
      </c>
      <c r="C50" s="9" t="s">
        <v>41</v>
      </c>
      <c r="D50" s="10" t="s">
        <v>99</v>
      </c>
      <c r="E50" s="10" t="s">
        <v>89</v>
      </c>
      <c r="F50" s="9" t="n">
        <f aca="false">IF(OR(D50="",E50=""),1,MAX(1,DATEVALUE(E50)-DATEVALUE(D50)))</f>
        <v>3</v>
      </c>
      <c r="G50" s="11"/>
      <c r="H50" s="11" t="n">
        <v>26396</v>
      </c>
      <c r="I50" s="11"/>
      <c r="J50" s="11"/>
      <c r="K50" s="11"/>
      <c r="L50" s="12"/>
      <c r="M50" s="13"/>
      <c r="N50" s="14" t="str">
        <f aca="false">IF(G50="","",G50/F50)</f>
        <v/>
      </c>
      <c r="O50" s="14" t="n">
        <f aca="false">IF(COUNT(H50:K50)=0,"",MIN(H50:K50)/F50)</f>
        <v>8798.66666666667</v>
      </c>
      <c r="P50" s="14" t="str">
        <f aca="false">IF(L50="","",L50*95/F50)</f>
        <v/>
      </c>
      <c r="Q50" s="15" t="str">
        <f aca="false">IF(OR(N50="",O50=""),"",(IF(AND(N50&gt;7500,O50&gt;7500),O50/(1+IF(O50&lt;=1000,0,IF(O50&lt;=7500,0.05,0.18)))-IF(AND(N50&gt;7500,O50&gt;7500),N50/1.18,N50),(O50-IF(AND(N50&gt;7500,O50&gt;7500),N50/1.18,N50))/(1+IF(O50&lt;=1000,0,IF(O50&lt;=7500,0.05,0.18)))))/(IF(AND(N50&gt;7500,O50&gt;7500),N50/1.18,N50)))</f>
        <v/>
      </c>
      <c r="R50" s="15" t="str">
        <f aca="false">IF(OR(N50="",O50=""),"",((O50-N50)/1.18)/N50)</f>
        <v/>
      </c>
      <c r="S50" s="15" t="str">
        <f aca="false">IF(OR(P50="",O50=""),"",(P50-O50)/O50)</f>
        <v/>
      </c>
      <c r="T50" s="9" t="str">
        <f aca="false">IF(AND(D50="",G50&lt;&gt;""),"no dates - assumed 1 night",IF(Q50="","",IF(Q50&gt;1.5,"check: markup &gt;150%",IF(Q50&lt;0,"below cost",""))))</f>
        <v/>
      </c>
    </row>
    <row r="51" customFormat="false" ht="15" hidden="false" customHeight="false" outlineLevel="0" collapsed="false">
      <c r="A51" s="9" t="s">
        <v>11</v>
      </c>
      <c r="B51" s="9" t="s">
        <v>142</v>
      </c>
      <c r="C51" s="9" t="s">
        <v>44</v>
      </c>
      <c r="D51" s="10" t="s">
        <v>103</v>
      </c>
      <c r="E51" s="10" t="s">
        <v>104</v>
      </c>
      <c r="F51" s="9" t="n">
        <f aca="false">IF(OR(D51="",E51=""),1,MAX(1,DATEVALUE(E51)-DATEVALUE(D51)))</f>
        <v>3</v>
      </c>
      <c r="G51" s="11"/>
      <c r="H51" s="11" t="n">
        <v>19878</v>
      </c>
      <c r="I51" s="11"/>
      <c r="J51" s="11"/>
      <c r="K51" s="11"/>
      <c r="L51" s="12"/>
      <c r="M51" s="13"/>
      <c r="N51" s="14" t="str">
        <f aca="false">IF(G51="","",G51/F51)</f>
        <v/>
      </c>
      <c r="O51" s="14" t="n">
        <f aca="false">IF(COUNT(H51:K51)=0,"",MIN(H51:K51)/F51)</f>
        <v>6626</v>
      </c>
      <c r="P51" s="14" t="str">
        <f aca="false">IF(L51="","",L51*95/F51)</f>
        <v/>
      </c>
      <c r="Q51" s="15" t="str">
        <f aca="false">IF(OR(N51="",O51=""),"",(IF(AND(N51&gt;7500,O51&gt;7500),O51/(1+IF(O51&lt;=1000,0,IF(O51&lt;=7500,0.05,0.18)))-IF(AND(N51&gt;7500,O51&gt;7500),N51/1.18,N51),(O51-IF(AND(N51&gt;7500,O51&gt;7500),N51/1.18,N51))/(1+IF(O51&lt;=1000,0,IF(O51&lt;=7500,0.05,0.18)))))/(IF(AND(N51&gt;7500,O51&gt;7500),N51/1.18,N51)))</f>
        <v/>
      </c>
      <c r="R51" s="15" t="str">
        <f aca="false">IF(OR(N51="",O51=""),"",((O51-N51)/1.18)/N51)</f>
        <v/>
      </c>
      <c r="S51" s="15" t="str">
        <f aca="false">IF(OR(P51="",O51=""),"",(P51-O51)/O51)</f>
        <v/>
      </c>
      <c r="T51" s="9" t="str">
        <f aca="false">IF(AND(D51="",G51&lt;&gt;""),"no dates - assumed 1 night",IF(Q51="","",IF(Q51&gt;1.5,"check: markup &gt;150%",IF(Q51&lt;0,"below cost",""))))</f>
        <v/>
      </c>
    </row>
    <row r="52" customFormat="false" ht="15" hidden="false" customHeight="false" outlineLevel="0" collapsed="false">
      <c r="A52" s="9" t="s">
        <v>11</v>
      </c>
      <c r="B52" s="9" t="s">
        <v>142</v>
      </c>
      <c r="C52" s="9" t="s">
        <v>47</v>
      </c>
      <c r="D52" s="10" t="s">
        <v>127</v>
      </c>
      <c r="E52" s="10" t="s">
        <v>128</v>
      </c>
      <c r="F52" s="9" t="n">
        <f aca="false">IF(OR(D52="",E52=""),1,MAX(1,DATEVALUE(E52)-DATEVALUE(D52)))</f>
        <v>3</v>
      </c>
      <c r="G52" s="11"/>
      <c r="H52" s="11" t="n">
        <v>19659</v>
      </c>
      <c r="I52" s="11"/>
      <c r="J52" s="11"/>
      <c r="K52" s="11"/>
      <c r="L52" s="12"/>
      <c r="M52" s="13"/>
      <c r="N52" s="14" t="str">
        <f aca="false">IF(G52="","",G52/F52)</f>
        <v/>
      </c>
      <c r="O52" s="14" t="n">
        <f aca="false">IF(COUNT(H52:K52)=0,"",MIN(H52:K52)/F52)</f>
        <v>6553</v>
      </c>
      <c r="P52" s="14" t="str">
        <f aca="false">IF(L52="","",L52*95/F52)</f>
        <v/>
      </c>
      <c r="Q52" s="15" t="str">
        <f aca="false">IF(OR(N52="",O52=""),"",(IF(AND(N52&gt;7500,O52&gt;7500),O52/(1+IF(O52&lt;=1000,0,IF(O52&lt;=7500,0.05,0.18)))-IF(AND(N52&gt;7500,O52&gt;7500),N52/1.18,N52),(O52-IF(AND(N52&gt;7500,O52&gt;7500),N52/1.18,N52))/(1+IF(O52&lt;=1000,0,IF(O52&lt;=7500,0.05,0.18)))))/(IF(AND(N52&gt;7500,O52&gt;7500),N52/1.18,N52)))</f>
        <v/>
      </c>
      <c r="R52" s="15" t="str">
        <f aca="false">IF(OR(N52="",O52=""),"",((O52-N52)/1.18)/N52)</f>
        <v/>
      </c>
      <c r="S52" s="15" t="str">
        <f aca="false">IF(OR(P52="",O52=""),"",(P52-O52)/O52)</f>
        <v/>
      </c>
      <c r="T52" s="9" t="str">
        <f aca="false">IF(AND(D52="",G52&lt;&gt;""),"no dates - assumed 1 night",IF(Q52="","",IF(Q52&gt;1.5,"check: markup &gt;150%",IF(Q52&lt;0,"below cost",""))))</f>
        <v/>
      </c>
    </row>
    <row r="53" customFormat="false" ht="15" hidden="false" customHeight="false" outlineLevel="0" collapsed="false">
      <c r="A53" s="9" t="s">
        <v>11</v>
      </c>
      <c r="B53" s="9" t="s">
        <v>143</v>
      </c>
      <c r="C53" s="9" t="s">
        <v>41</v>
      </c>
      <c r="D53" s="10" t="s">
        <v>99</v>
      </c>
      <c r="E53" s="10" t="s">
        <v>89</v>
      </c>
      <c r="F53" s="9" t="n">
        <f aca="false">IF(OR(D53="",E53=""),1,MAX(1,DATEVALUE(E53)-DATEVALUE(D53)))</f>
        <v>3</v>
      </c>
      <c r="G53" s="11" t="n">
        <v>41985</v>
      </c>
      <c r="H53" s="11" t="n">
        <v>44364</v>
      </c>
      <c r="I53" s="11"/>
      <c r="J53" s="11"/>
      <c r="K53" s="11"/>
      <c r="L53" s="12"/>
      <c r="M53" s="13"/>
      <c r="N53" s="14" t="n">
        <f aca="false">IF(G53="","",G53/F53)</f>
        <v>13995</v>
      </c>
      <c r="O53" s="14" t="n">
        <f aca="false">IF(COUNT(H53:K53)=0,"",MIN(H53:K53)/F53)</f>
        <v>14788</v>
      </c>
      <c r="P53" s="14" t="str">
        <f aca="false">IF(L53="","",L53*95/F53)</f>
        <v/>
      </c>
      <c r="Q53" s="15" t="n">
        <f aca="false">IF(OR(N53="",O53=""),"",(IF(AND(N53&gt;7500,O53&gt;7500),O53/(1+IF(O53&lt;=1000,0,IF(O53&lt;=7500,0.05,0.18)))-IF(AND(N53&gt;7500,O53&gt;7500),N53/1.18,N53),(O53-IF(AND(N53&gt;7500,O53&gt;7500),N53/1.18,N53))/(1+IF(O53&lt;=1000,0,IF(O53&lt;=7500,0.05,0.18)))))/(IF(AND(N53&gt;7500,O53&gt;7500),N53/1.18,N53)))</f>
        <v>0.0566630939621293</v>
      </c>
      <c r="R53" s="15" t="n">
        <f aca="false">IF(OR(N53="",O53=""),"",((O53-N53)/1.18)/N53)</f>
        <v>0.0480195711543469</v>
      </c>
      <c r="S53" s="15" t="str">
        <f aca="false">IF(OR(P53="",O53=""),"",(P53-O53)/O53)</f>
        <v/>
      </c>
      <c r="T53" s="9" t="str">
        <f aca="false">IF(AND(D53="",G53&lt;&gt;""),"no dates - assumed 1 night",IF(Q53="","",IF(Q53&gt;1.5,"check: markup &gt;150%",IF(Q53&lt;0,"below cost",""))))</f>
        <v/>
      </c>
    </row>
    <row r="54" customFormat="false" ht="15" hidden="false" customHeight="false" outlineLevel="0" collapsed="false">
      <c r="A54" s="9" t="s">
        <v>11</v>
      </c>
      <c r="B54" s="9" t="s">
        <v>143</v>
      </c>
      <c r="C54" s="9" t="s">
        <v>44</v>
      </c>
      <c r="D54" s="10" t="s">
        <v>103</v>
      </c>
      <c r="E54" s="10" t="s">
        <v>104</v>
      </c>
      <c r="F54" s="9" t="n">
        <f aca="false">IF(OR(D54="",E54=""),1,MAX(1,DATEVALUE(E54)-DATEVALUE(D54)))</f>
        <v>3</v>
      </c>
      <c r="G54" s="11" t="n">
        <v>39026</v>
      </c>
      <c r="H54" s="11" t="n">
        <v>44364</v>
      </c>
      <c r="I54" s="11"/>
      <c r="J54" s="11"/>
      <c r="K54" s="11"/>
      <c r="L54" s="12"/>
      <c r="M54" s="13"/>
      <c r="N54" s="14" t="n">
        <f aca="false">IF(G54="","",G54/F54)</f>
        <v>13008.6666666667</v>
      </c>
      <c r="O54" s="14" t="n">
        <f aca="false">IF(COUNT(H54:K54)=0,"",MIN(H54:K54)/F54)</f>
        <v>14788</v>
      </c>
      <c r="P54" s="14" t="str">
        <f aca="false">IF(L54="","",L54*95/F54)</f>
        <v/>
      </c>
      <c r="Q54" s="15" t="n">
        <f aca="false">IF(OR(N54="",O54=""),"",(IF(AND(N54&gt;7500,O54&gt;7500),O54/(1+IF(O54&lt;=1000,0,IF(O54&lt;=7500,0.05,0.18)))-IF(AND(N54&gt;7500,O54&gt;7500),N54/1.18,N54),(O54-IF(AND(N54&gt;7500,O54&gt;7500),N54/1.18,N54))/(1+IF(O54&lt;=1000,0,IF(O54&lt;=7500,0.05,0.18)))))/(IF(AND(N54&gt;7500,O54&gt;7500),N54/1.18,N54)))</f>
        <v>0.136780607799928</v>
      </c>
      <c r="R54" s="15" t="n">
        <f aca="false">IF(OR(N54="",O54=""),"",((O54-N54)/1.18)/N54)</f>
        <v>0.115915769321973</v>
      </c>
      <c r="S54" s="15" t="str">
        <f aca="false">IF(OR(P54="",O54=""),"",(P54-O54)/O54)</f>
        <v/>
      </c>
      <c r="T54" s="9" t="str">
        <f aca="false">IF(AND(D54="",G54&lt;&gt;""),"no dates - assumed 1 night",IF(Q54="","",IF(Q54&gt;1.5,"check: markup &gt;150%",IF(Q54&lt;0,"below cost",""))))</f>
        <v/>
      </c>
    </row>
    <row r="55" customFormat="false" ht="15" hidden="false" customHeight="false" outlineLevel="0" collapsed="false">
      <c r="A55" s="9" t="s">
        <v>11</v>
      </c>
      <c r="B55" s="9" t="s">
        <v>143</v>
      </c>
      <c r="C55" s="9" t="s">
        <v>47</v>
      </c>
      <c r="D55" s="10" t="s">
        <v>127</v>
      </c>
      <c r="E55" s="10" t="s">
        <v>128</v>
      </c>
      <c r="F55" s="9" t="n">
        <f aca="false">IF(OR(D55="",E55=""),1,MAX(1,DATEVALUE(E55)-DATEVALUE(D55)))</f>
        <v>3</v>
      </c>
      <c r="G55" s="11" t="n">
        <v>52485</v>
      </c>
      <c r="H55" s="11" t="n">
        <v>56634</v>
      </c>
      <c r="I55" s="11"/>
      <c r="J55" s="11"/>
      <c r="K55" s="11"/>
      <c r="L55" s="12"/>
      <c r="M55" s="13"/>
      <c r="N55" s="14" t="n">
        <f aca="false">IF(G55="","",G55/F55)</f>
        <v>17495</v>
      </c>
      <c r="O55" s="14" t="n">
        <f aca="false">IF(COUNT(H55:K55)=0,"",MIN(H55:K55)/F55)</f>
        <v>18878</v>
      </c>
      <c r="P55" s="14" t="str">
        <f aca="false">IF(L55="","",L55*95/F55)</f>
        <v/>
      </c>
      <c r="Q55" s="15" t="n">
        <f aca="false">IF(OR(N55="",O55=""),"",(IF(AND(N55&gt;7500,O55&gt;7500),O55/(1+IF(O55&lt;=1000,0,IF(O55&lt;=7500,0.05,0.18)))-IF(AND(N55&gt;7500,O55&gt;7500),N55/1.18,N55),(O55-IF(AND(N55&gt;7500,O55&gt;7500),N55/1.18,N55))/(1+IF(O55&lt;=1000,0,IF(O55&lt;=7500,0.05,0.18)))))/(IF(AND(N55&gt;7500,O55&gt;7500),N55/1.18,N55)))</f>
        <v>0.0790511574735638</v>
      </c>
      <c r="R55" s="15" t="n">
        <f aca="false">IF(OR(N55="",O55=""),"",((O55-N55)/1.18)/N55)</f>
        <v>0.0669925063335287</v>
      </c>
      <c r="S55" s="15" t="str">
        <f aca="false">IF(OR(P55="",O55=""),"",(P55-O55)/O55)</f>
        <v/>
      </c>
      <c r="T55" s="9" t="str">
        <f aca="false">IF(AND(D55="",G55&lt;&gt;""),"no dates - assumed 1 night",IF(Q55="","",IF(Q55&gt;1.5,"check: markup &gt;150%",IF(Q55&lt;0,"below cost",""))))</f>
        <v/>
      </c>
    </row>
    <row r="56" customFormat="false" ht="15" hidden="false" customHeight="false" outlineLevel="0" collapsed="false">
      <c r="A56" s="9" t="s">
        <v>11</v>
      </c>
      <c r="B56" s="9" t="s">
        <v>144</v>
      </c>
      <c r="C56" s="9" t="s">
        <v>41</v>
      </c>
      <c r="D56" s="10" t="s">
        <v>99</v>
      </c>
      <c r="E56" s="10" t="s">
        <v>89</v>
      </c>
      <c r="F56" s="9" t="n">
        <f aca="false">IF(OR(D56="",E56=""),1,MAX(1,DATEVALUE(E56)-DATEVALUE(D56)))</f>
        <v>3</v>
      </c>
      <c r="G56" s="11" t="n">
        <v>77816</v>
      </c>
      <c r="H56" s="11" t="n">
        <v>81243</v>
      </c>
      <c r="I56" s="11"/>
      <c r="J56" s="11"/>
      <c r="K56" s="11"/>
      <c r="L56" s="12"/>
      <c r="M56" s="13"/>
      <c r="N56" s="14" t="n">
        <f aca="false">IF(G56="","",G56/F56)</f>
        <v>25938.6666666667</v>
      </c>
      <c r="O56" s="14" t="n">
        <f aca="false">IF(COUNT(H56:K56)=0,"",MIN(H56:K56)/F56)</f>
        <v>27081</v>
      </c>
      <c r="P56" s="14" t="str">
        <f aca="false">IF(L56="","",L56*95/F56)</f>
        <v/>
      </c>
      <c r="Q56" s="15" t="n">
        <f aca="false">IF(OR(N56="",O56=""),"",(IF(AND(N56&gt;7500,O56&gt;7500),O56/(1+IF(O56&lt;=1000,0,IF(O56&lt;=7500,0.05,0.18)))-IF(AND(N56&gt;7500,O56&gt;7500),N56/1.18,N56),(O56-IF(AND(N56&gt;7500,O56&gt;7500),N56/1.18,N56))/(1+IF(O56&lt;=1000,0,IF(O56&lt;=7500,0.05,0.18)))))/(IF(AND(N56&gt;7500,O56&gt;7500),N56/1.18,N56)))</f>
        <v>0.0440397861622288</v>
      </c>
      <c r="R56" s="15" t="n">
        <f aca="false">IF(OR(N56="",O56=""),"",((O56-N56)/1.18)/N56)</f>
        <v>0.0373218526798549</v>
      </c>
      <c r="S56" s="15" t="str">
        <f aca="false">IF(OR(P56="",O56=""),"",(P56-O56)/O56)</f>
        <v/>
      </c>
      <c r="T56" s="9" t="str">
        <f aca="false">IF(AND(D56="",G56&lt;&gt;""),"no dates - assumed 1 night",IF(Q56="","",IF(Q56&gt;1.5,"check: markup &gt;150%",IF(Q56&lt;0,"below cost",""))))</f>
        <v/>
      </c>
    </row>
    <row r="57" customFormat="false" ht="15" hidden="false" customHeight="false" outlineLevel="0" collapsed="false">
      <c r="A57" s="9" t="s">
        <v>11</v>
      </c>
      <c r="B57" s="9" t="s">
        <v>144</v>
      </c>
      <c r="C57" s="9" t="s">
        <v>44</v>
      </c>
      <c r="D57" s="10" t="s">
        <v>103</v>
      </c>
      <c r="E57" s="10" t="s">
        <v>104</v>
      </c>
      <c r="F57" s="9" t="n">
        <f aca="false">IF(OR(D57="",E57=""),1,MAX(1,DATEVALUE(E57)-DATEVALUE(D57)))</f>
        <v>3</v>
      </c>
      <c r="G57" s="11" t="n">
        <v>76031</v>
      </c>
      <c r="H57" s="11" t="n">
        <v>81243</v>
      </c>
      <c r="I57" s="11"/>
      <c r="J57" s="11"/>
      <c r="K57" s="11"/>
      <c r="L57" s="12"/>
      <c r="M57" s="13"/>
      <c r="N57" s="14" t="n">
        <f aca="false">IF(G57="","",G57/F57)</f>
        <v>25343.6666666667</v>
      </c>
      <c r="O57" s="14" t="n">
        <f aca="false">IF(COUNT(H57:K57)=0,"",MIN(H57:K57)/F57)</f>
        <v>27081</v>
      </c>
      <c r="P57" s="14" t="str">
        <f aca="false">IF(L57="","",L57*95/F57)</f>
        <v/>
      </c>
      <c r="Q57" s="15" t="n">
        <f aca="false">IF(OR(N57="",O57=""),"",(IF(AND(N57&gt;7500,O57&gt;7500),O57/(1+IF(O57&lt;=1000,0,IF(O57&lt;=7500,0.05,0.18)))-IF(AND(N57&gt;7500,O57&gt;7500),N57/1.18,N57),(O57-IF(AND(N57&gt;7500,O57&gt;7500),N57/1.18,N57))/(1+IF(O57&lt;=1000,0,IF(O57&lt;=7500,0.05,0.18)))))/(IF(AND(N57&gt;7500,O57&gt;7500),N57/1.18,N57)))</f>
        <v>0.068550985782115</v>
      </c>
      <c r="R57" s="15" t="n">
        <f aca="false">IF(OR(N57="",O57=""),"",((O57-N57)/1.18)/N57)</f>
        <v>0.0580940557475552</v>
      </c>
      <c r="S57" s="15" t="str">
        <f aca="false">IF(OR(P57="",O57=""),"",(P57-O57)/O57)</f>
        <v/>
      </c>
      <c r="T57" s="9" t="str">
        <f aca="false">IF(AND(D57="",G57&lt;&gt;""),"no dates - assumed 1 night",IF(Q57="","",IF(Q57&gt;1.5,"check: markup &gt;150%",IF(Q57&lt;0,"below cost",""))))</f>
        <v/>
      </c>
    </row>
    <row r="58" customFormat="false" ht="15" hidden="false" customHeight="false" outlineLevel="0" collapsed="false">
      <c r="A58" s="9" t="s">
        <v>11</v>
      </c>
      <c r="B58" s="9" t="s">
        <v>144</v>
      </c>
      <c r="C58" s="9" t="s">
        <v>47</v>
      </c>
      <c r="D58" s="10" t="s">
        <v>127</v>
      </c>
      <c r="E58" s="10" t="s">
        <v>128</v>
      </c>
      <c r="F58" s="9" t="n">
        <f aca="false">IF(OR(D58="",E58=""),1,MAX(1,DATEVALUE(E58)-DATEVALUE(D58)))</f>
        <v>3</v>
      </c>
      <c r="G58" s="11" t="n">
        <v>130822</v>
      </c>
      <c r="H58" s="11" t="n">
        <v>134520</v>
      </c>
      <c r="I58" s="11"/>
      <c r="J58" s="11"/>
      <c r="K58" s="11"/>
      <c r="L58" s="12"/>
      <c r="M58" s="13"/>
      <c r="N58" s="14" t="n">
        <f aca="false">IF(G58="","",G58/F58)</f>
        <v>43607.3333333333</v>
      </c>
      <c r="O58" s="14" t="n">
        <f aca="false">IF(COUNT(H58:K58)=0,"",MIN(H58:K58)/F58)</f>
        <v>44840</v>
      </c>
      <c r="P58" s="14" t="str">
        <f aca="false">IF(L58="","",L58*95/F58)</f>
        <v/>
      </c>
      <c r="Q58" s="15" t="n">
        <f aca="false">IF(OR(N58="",O58=""),"",(IF(AND(N58&gt;7500,O58&gt;7500),O58/(1+IF(O58&lt;=1000,0,IF(O58&lt;=7500,0.05,0.18)))-IF(AND(N58&gt;7500,O58&gt;7500),N58/1.18,N58),(O58-IF(AND(N58&gt;7500,O58&gt;7500),N58/1.18,N58))/(1+IF(O58&lt;=1000,0,IF(O58&lt;=7500,0.05,0.18)))))/(IF(AND(N58&gt;7500,O58&gt;7500),N58/1.18,N58)))</f>
        <v>0.02826741679534</v>
      </c>
      <c r="R58" s="15" t="n">
        <f aca="false">IF(OR(N58="",O58=""),"",((O58-N58)/1.18)/N58)</f>
        <v>0.0239554379621527</v>
      </c>
      <c r="S58" s="15" t="str">
        <f aca="false">IF(OR(P58="",O58=""),"",(P58-O58)/O58)</f>
        <v/>
      </c>
      <c r="T58" s="9" t="str">
        <f aca="false">IF(AND(D58="",G58&lt;&gt;""),"no dates - assumed 1 night",IF(Q58="","",IF(Q58&gt;1.5,"check: markup &gt;150%",IF(Q58&lt;0,"below cost",""))))</f>
        <v/>
      </c>
    </row>
    <row r="59" customFormat="false" ht="15" hidden="false" customHeight="false" outlineLevel="0" collapsed="false">
      <c r="A59" s="9" t="s">
        <v>11</v>
      </c>
      <c r="B59" s="9" t="s">
        <v>144</v>
      </c>
      <c r="C59" s="9" t="s">
        <v>50</v>
      </c>
      <c r="D59" s="10" t="s">
        <v>145</v>
      </c>
      <c r="E59" s="10" t="s">
        <v>48</v>
      </c>
      <c r="F59" s="9" t="n">
        <f aca="false">IF(OR(D59="",E59=""),1,MAX(1,DATEVALUE(E59)-DATEVALUE(D59)))</f>
        <v>3</v>
      </c>
      <c r="G59" s="11" t="n">
        <v>130822</v>
      </c>
      <c r="H59" s="11" t="n">
        <v>134520</v>
      </c>
      <c r="I59" s="11"/>
      <c r="J59" s="11"/>
      <c r="K59" s="11"/>
      <c r="L59" s="12"/>
      <c r="M59" s="13"/>
      <c r="N59" s="14" t="n">
        <f aca="false">IF(G59="","",G59/F59)</f>
        <v>43607.3333333333</v>
      </c>
      <c r="O59" s="14" t="n">
        <f aca="false">IF(COUNT(H59:K59)=0,"",MIN(H59:K59)/F59)</f>
        <v>44840</v>
      </c>
      <c r="P59" s="14" t="str">
        <f aca="false">IF(L59="","",L59*95/F59)</f>
        <v/>
      </c>
      <c r="Q59" s="15" t="n">
        <f aca="false">IF(OR(N59="",O59=""),"",(IF(AND(N59&gt;7500,O59&gt;7500),O59/(1+IF(O59&lt;=1000,0,IF(O59&lt;=7500,0.05,0.18)))-IF(AND(N59&gt;7500,O59&gt;7500),N59/1.18,N59),(O59-IF(AND(N59&gt;7500,O59&gt;7500),N59/1.18,N59))/(1+IF(O59&lt;=1000,0,IF(O59&lt;=7500,0.05,0.18)))))/(IF(AND(N59&gt;7500,O59&gt;7500),N59/1.18,N59)))</f>
        <v>0.02826741679534</v>
      </c>
      <c r="R59" s="15" t="n">
        <f aca="false">IF(OR(N59="",O59=""),"",((O59-N59)/1.18)/N59)</f>
        <v>0.0239554379621527</v>
      </c>
      <c r="S59" s="15" t="str">
        <f aca="false">IF(OR(P59="",O59=""),"",(P59-O59)/O59)</f>
        <v/>
      </c>
      <c r="T59" s="9" t="str">
        <f aca="false">IF(AND(D59="",G59&lt;&gt;""),"no dates - assumed 1 night",IF(Q59="","",IF(Q59&gt;1.5,"check: markup &gt;150%",IF(Q59&lt;0,"below cost",""))))</f>
        <v/>
      </c>
    </row>
    <row r="60" customFormat="false" ht="15" hidden="false" customHeight="false" outlineLevel="0" collapsed="false">
      <c r="A60" s="9" t="s">
        <v>11</v>
      </c>
      <c r="B60" s="9" t="s">
        <v>146</v>
      </c>
      <c r="C60" s="9" t="s">
        <v>41</v>
      </c>
      <c r="D60" s="10" t="s">
        <v>99</v>
      </c>
      <c r="E60" s="10" t="s">
        <v>89</v>
      </c>
      <c r="F60" s="9" t="n">
        <f aca="false">IF(OR(D60="",E60=""),1,MAX(1,DATEVALUE(E60)-DATEVALUE(D60)))</f>
        <v>3</v>
      </c>
      <c r="G60" s="11" t="n">
        <v>13041</v>
      </c>
      <c r="H60" s="11" t="n">
        <v>17059</v>
      </c>
      <c r="I60" s="11"/>
      <c r="J60" s="11"/>
      <c r="K60" s="11"/>
      <c r="L60" s="12"/>
      <c r="M60" s="13"/>
      <c r="N60" s="14" t="n">
        <f aca="false">IF(G60="","",G60/F60)</f>
        <v>4347</v>
      </c>
      <c r="O60" s="14" t="n">
        <f aca="false">IF(COUNT(H60:K60)=0,"",MIN(H60:K60)/F60)</f>
        <v>5686.33333333333</v>
      </c>
      <c r="P60" s="14" t="str">
        <f aca="false">IF(L60="","",L60*95/F60)</f>
        <v/>
      </c>
      <c r="Q60" s="15" t="n">
        <f aca="false">IF(OR(N60="",O60=""),"",(IF(AND(N60&gt;7500,O60&gt;7500),O60/(1+IF(O60&lt;=1000,0,IF(O60&lt;=7500,0.05,0.18)))-IF(AND(N60&gt;7500,O60&gt;7500),N60/1.18,N60),(O60-IF(AND(N60&gt;7500,O60&gt;7500),N60/1.18,N60))/(1+IF(O60&lt;=1000,0,IF(O60&lt;=7500,0.05,0.18)))))/(IF(AND(N60&gt;7500,O60&gt;7500),N60/1.18,N60)))</f>
        <v>0.293433530148506</v>
      </c>
      <c r="R60" s="15" t="n">
        <f aca="false">IF(OR(N60="",O60=""),"",((O60-N60)/1.18)/N60)</f>
        <v>0.261106107335535</v>
      </c>
      <c r="S60" s="15" t="str">
        <f aca="false">IF(OR(P60="",O60=""),"",(P60-O60)/O60)</f>
        <v/>
      </c>
      <c r="T60" s="9" t="str">
        <f aca="false">IF(AND(D60="",G60&lt;&gt;""),"no dates - assumed 1 night",IF(Q60="","",IF(Q60&gt;1.5,"check: markup &gt;150%",IF(Q60&lt;0,"below cost",""))))</f>
        <v/>
      </c>
    </row>
    <row r="61" customFormat="false" ht="15" hidden="false" customHeight="false" outlineLevel="0" collapsed="false">
      <c r="A61" s="9" t="s">
        <v>11</v>
      </c>
      <c r="B61" s="9" t="s">
        <v>146</v>
      </c>
      <c r="C61" s="9" t="s">
        <v>44</v>
      </c>
      <c r="D61" s="10" t="s">
        <v>103</v>
      </c>
      <c r="E61" s="10" t="s">
        <v>104</v>
      </c>
      <c r="F61" s="9" t="n">
        <f aca="false">IF(OR(D61="",E61=""),1,MAX(1,DATEVALUE(E61)-DATEVALUE(D61)))</f>
        <v>3</v>
      </c>
      <c r="G61" s="11" t="n">
        <v>15148</v>
      </c>
      <c r="H61" s="11" t="n">
        <v>17574</v>
      </c>
      <c r="I61" s="11"/>
      <c r="J61" s="11"/>
      <c r="K61" s="11"/>
      <c r="L61" s="12"/>
      <c r="M61" s="13"/>
      <c r="N61" s="14" t="n">
        <f aca="false">IF(G61="","",G61/F61)</f>
        <v>5049.33333333333</v>
      </c>
      <c r="O61" s="14" t="n">
        <f aca="false">IF(COUNT(H61:K61)=0,"",MIN(H61:K61)/F61)</f>
        <v>5858</v>
      </c>
      <c r="P61" s="14" t="str">
        <f aca="false">IF(L61="","",L61*95/F61)</f>
        <v/>
      </c>
      <c r="Q61" s="15" t="n">
        <f aca="false">IF(OR(N61="",O61=""),"",(IF(AND(N61&gt;7500,O61&gt;7500),O61/(1+IF(O61&lt;=1000,0,IF(O61&lt;=7500,0.05,0.18)))-IF(AND(N61&gt;7500,O61&gt;7500),N61/1.18,N61),(O61-IF(AND(N61&gt;7500,O61&gt;7500),N61/1.18,N61))/(1+IF(O61&lt;=1000,0,IF(O61&lt;=7500,0.05,0.18)))))/(IF(AND(N61&gt;7500,O61&gt;7500),N61/1.18,N61)))</f>
        <v>0.152526814792461</v>
      </c>
      <c r="R61" s="15" t="n">
        <f aca="false">IF(OR(N61="",O61=""),"",((O61-N61)/1.18)/N61)</f>
        <v>0.135723013162783</v>
      </c>
      <c r="S61" s="15" t="str">
        <f aca="false">IF(OR(P61="",O61=""),"",(P61-O61)/O61)</f>
        <v/>
      </c>
      <c r="T61" s="9" t="str">
        <f aca="false">IF(AND(D61="",G61&lt;&gt;""),"no dates - assumed 1 night",IF(Q61="","",IF(Q61&gt;1.5,"check: markup &gt;150%",IF(Q61&lt;0,"below cost",""))))</f>
        <v/>
      </c>
    </row>
    <row r="62" customFormat="false" ht="15" hidden="false" customHeight="false" outlineLevel="0" collapsed="false">
      <c r="A62" s="9" t="s">
        <v>11</v>
      </c>
      <c r="B62" s="9" t="s">
        <v>146</v>
      </c>
      <c r="C62" s="9" t="s">
        <v>47</v>
      </c>
      <c r="D62" s="10" t="s">
        <v>127</v>
      </c>
      <c r="E62" s="10" t="s">
        <v>128</v>
      </c>
      <c r="F62" s="9" t="n">
        <f aca="false">IF(OR(D62="",E62=""),1,MAX(1,DATEVALUE(E62)-DATEVALUE(D62)))</f>
        <v>3</v>
      </c>
      <c r="G62" s="11" t="n">
        <v>24125</v>
      </c>
      <c r="H62" s="11" t="n">
        <v>27428</v>
      </c>
      <c r="I62" s="11"/>
      <c r="J62" s="11"/>
      <c r="K62" s="11"/>
      <c r="L62" s="12"/>
      <c r="M62" s="13"/>
      <c r="N62" s="14" t="n">
        <f aca="false">IF(G62="","",G62/F62)</f>
        <v>8041.66666666667</v>
      </c>
      <c r="O62" s="14" t="n">
        <f aca="false">IF(COUNT(H62:K62)=0,"",MIN(H62:K62)/F62)</f>
        <v>9142.66666666667</v>
      </c>
      <c r="P62" s="14" t="str">
        <f aca="false">IF(L62="","",L62*95/F62)</f>
        <v/>
      </c>
      <c r="Q62" s="15" t="n">
        <f aca="false">IF(OR(N62="",O62=""),"",(IF(AND(N62&gt;7500,O62&gt;7500),O62/(1+IF(O62&lt;=1000,0,IF(O62&lt;=7500,0.05,0.18)))-IF(AND(N62&gt;7500,O62&gt;7500),N62/1.18,N62),(O62-IF(AND(N62&gt;7500,O62&gt;7500),N62/1.18,N62))/(1+IF(O62&lt;=1000,0,IF(O62&lt;=7500,0.05,0.18)))))/(IF(AND(N62&gt;7500,O62&gt;7500),N62/1.18,N62)))</f>
        <v>0.136911917098445</v>
      </c>
      <c r="R62" s="15" t="n">
        <f aca="false">IF(OR(N62="",O62=""),"",((O62-N62)/1.18)/N62)</f>
        <v>0.116027048388513</v>
      </c>
      <c r="S62" s="15" t="str">
        <f aca="false">IF(OR(P62="",O62=""),"",(P62-O62)/O62)</f>
        <v/>
      </c>
      <c r="T62" s="9" t="str">
        <f aca="false">IF(AND(D62="",G62&lt;&gt;""),"no dates - assumed 1 night",IF(Q62="","",IF(Q62&gt;1.5,"check: markup &gt;150%",IF(Q62&lt;0,"below cost",""))))</f>
        <v/>
      </c>
    </row>
    <row r="63" customFormat="false" ht="15" hidden="false" customHeight="false" outlineLevel="0" collapsed="false">
      <c r="A63" s="9" t="s">
        <v>11</v>
      </c>
      <c r="B63" s="9" t="s">
        <v>146</v>
      </c>
      <c r="C63" s="9" t="s">
        <v>50</v>
      </c>
      <c r="D63" s="10" t="s">
        <v>48</v>
      </c>
      <c r="E63" s="10" t="s">
        <v>49</v>
      </c>
      <c r="F63" s="9" t="n">
        <f aca="false">IF(OR(D63="",E63=""),1,MAX(1,DATEVALUE(E63)-DATEVALUE(D63)))</f>
        <v>3</v>
      </c>
      <c r="G63" s="11" t="n">
        <v>24125</v>
      </c>
      <c r="H63" s="11" t="n">
        <v>30476</v>
      </c>
      <c r="I63" s="11"/>
      <c r="J63" s="11"/>
      <c r="K63" s="11"/>
      <c r="L63" s="12"/>
      <c r="M63" s="13"/>
      <c r="N63" s="14" t="n">
        <f aca="false">IF(G63="","",G63/F63)</f>
        <v>8041.66666666667</v>
      </c>
      <c r="O63" s="14" t="n">
        <f aca="false">IF(COUNT(H63:K63)=0,"",MIN(H63:K63)/F63)</f>
        <v>10158.6666666667</v>
      </c>
      <c r="P63" s="14" t="str">
        <f aca="false">IF(L63="","",L63*95/F63)</f>
        <v/>
      </c>
      <c r="Q63" s="15" t="n">
        <f aca="false">IF(OR(N63="",O63=""),"",(IF(AND(N63&gt;7500,O63&gt;7500),O63/(1+IF(O63&lt;=1000,0,IF(O63&lt;=7500,0.05,0.18)))-IF(AND(N63&gt;7500,O63&gt;7500),N63/1.18,N63),(O63-IF(AND(N63&gt;7500,O63&gt;7500),N63/1.18,N63))/(1+IF(O63&lt;=1000,0,IF(O63&lt;=7500,0.05,0.18)))))/(IF(AND(N63&gt;7500,O63&gt;7500),N63/1.18,N63)))</f>
        <v>0.263253886010362</v>
      </c>
      <c r="R63" s="15" t="n">
        <f aca="false">IF(OR(N63="",O63=""),"",((O63-N63)/1.18)/N63)</f>
        <v>0.223096513568104</v>
      </c>
      <c r="S63" s="15" t="str">
        <f aca="false">IF(OR(P63="",O63=""),"",(P63-O63)/O63)</f>
        <v/>
      </c>
      <c r="T63" s="9" t="str">
        <f aca="false">IF(AND(D63="",G63&lt;&gt;""),"no dates - assumed 1 night",IF(Q63="","",IF(Q63&gt;1.5,"check: markup &gt;150%",IF(Q63&lt;0,"below cost",""))))</f>
        <v/>
      </c>
    </row>
    <row r="64" customFormat="false" ht="15" hidden="false" customHeight="false" outlineLevel="0" collapsed="false">
      <c r="A64" s="9" t="s">
        <v>11</v>
      </c>
      <c r="B64" s="9" t="s">
        <v>147</v>
      </c>
      <c r="C64" s="9" t="s">
        <v>41</v>
      </c>
      <c r="D64" s="10" t="s">
        <v>99</v>
      </c>
      <c r="E64" s="10" t="s">
        <v>89</v>
      </c>
      <c r="F64" s="9" t="n">
        <f aca="false">IF(OR(D64="",E64=""),1,MAX(1,DATEVALUE(E64)-DATEVALUE(D64)))</f>
        <v>3</v>
      </c>
      <c r="G64" s="11" t="n">
        <v>16694</v>
      </c>
      <c r="H64" s="11" t="n">
        <v>19050</v>
      </c>
      <c r="I64" s="11"/>
      <c r="J64" s="11"/>
      <c r="K64" s="11"/>
      <c r="L64" s="12"/>
      <c r="M64" s="13"/>
      <c r="N64" s="14" t="n">
        <f aca="false">IF(G64="","",G64/F64)</f>
        <v>5564.66666666667</v>
      </c>
      <c r="O64" s="14" t="n">
        <f aca="false">IF(COUNT(H64:K64)=0,"",MIN(H64:K64)/F64)</f>
        <v>6350</v>
      </c>
      <c r="P64" s="14" t="str">
        <f aca="false">IF(L64="","",L64*95/F64)</f>
        <v/>
      </c>
      <c r="Q64" s="15" t="n">
        <f aca="false">IF(OR(N64="",O64=""),"",(IF(AND(N64&gt;7500,O64&gt;7500),O64/(1+IF(O64&lt;=1000,0,IF(O64&lt;=7500,0.05,0.18)))-IF(AND(N64&gt;7500,O64&gt;7500),N64/1.18,N64),(O64-IF(AND(N64&gt;7500,O64&gt;7500),N64/1.18,N64))/(1+IF(O64&lt;=1000,0,IF(O64&lt;=7500,0.05,0.18)))))/(IF(AND(N64&gt;7500,O64&gt;7500),N64/1.18,N64)))</f>
        <v>0.134408142075567</v>
      </c>
      <c r="R64" s="15" t="n">
        <f aca="false">IF(OR(N64="",O64=""),"",((O64-N64)/1.18)/N64)</f>
        <v>0.119600465406225</v>
      </c>
      <c r="S64" s="15" t="str">
        <f aca="false">IF(OR(P64="",O64=""),"",(P64-O64)/O64)</f>
        <v/>
      </c>
      <c r="T64" s="9" t="str">
        <f aca="false">IF(AND(D64="",G64&lt;&gt;""),"no dates - assumed 1 night",IF(Q64="","",IF(Q64&gt;1.5,"check: markup &gt;150%",IF(Q64&lt;0,"below cost",""))))</f>
        <v/>
      </c>
    </row>
    <row r="65" customFormat="false" ht="15" hidden="false" customHeight="false" outlineLevel="0" collapsed="false">
      <c r="A65" s="9" t="s">
        <v>11</v>
      </c>
      <c r="B65" s="9" t="s">
        <v>147</v>
      </c>
      <c r="C65" s="9" t="s">
        <v>44</v>
      </c>
      <c r="D65" s="10" t="s">
        <v>103</v>
      </c>
      <c r="E65" s="10" t="s">
        <v>104</v>
      </c>
      <c r="F65" s="9" t="n">
        <f aca="false">IF(OR(D65="",E65=""),1,MAX(1,DATEVALUE(E65)-DATEVALUE(D65)))</f>
        <v>3</v>
      </c>
      <c r="G65" s="11" t="n">
        <v>14670</v>
      </c>
      <c r="H65" s="11" t="n">
        <v>17464</v>
      </c>
      <c r="I65" s="11"/>
      <c r="J65" s="11"/>
      <c r="K65" s="11"/>
      <c r="L65" s="12"/>
      <c r="M65" s="13"/>
      <c r="N65" s="14" t="n">
        <f aca="false">IF(G65="","",G65/F65)</f>
        <v>4890</v>
      </c>
      <c r="O65" s="14" t="n">
        <f aca="false">IF(COUNT(H65:K65)=0,"",MIN(H65:K65)/F65)</f>
        <v>5821.33333333333</v>
      </c>
      <c r="P65" s="14" t="str">
        <f aca="false">IF(L65="","",L65*95/F65)</f>
        <v/>
      </c>
      <c r="Q65" s="15" t="n">
        <f aca="false">IF(OR(N65="",O65=""),"",(IF(AND(N65&gt;7500,O65&gt;7500),O65/(1+IF(O65&lt;=1000,0,IF(O65&lt;=7500,0.05,0.18)))-IF(AND(N65&gt;7500,O65&gt;7500),N65/1.18,N65),(O65-IF(AND(N65&gt;7500,O65&gt;7500),N65/1.18,N65))/(1+IF(O65&lt;=1000,0,IF(O65&lt;=7500,0.05,0.18)))))/(IF(AND(N65&gt;7500,O65&gt;7500),N65/1.18,N65)))</f>
        <v>0.181387347031519</v>
      </c>
      <c r="R65" s="15" t="n">
        <f aca="false">IF(OR(N65="",O65=""),"",((O65-N65)/1.18)/N65)</f>
        <v>0.161403995239911</v>
      </c>
      <c r="S65" s="15" t="str">
        <f aca="false">IF(OR(P65="",O65=""),"",(P65-O65)/O65)</f>
        <v/>
      </c>
      <c r="T65" s="9" t="str">
        <f aca="false">IF(AND(D65="",G65&lt;&gt;""),"no dates - assumed 1 night",IF(Q65="","",IF(Q65&gt;1.5,"check: markup &gt;150%",IF(Q65&lt;0,"below cost",""))))</f>
        <v/>
      </c>
    </row>
    <row r="66" customFormat="false" ht="15" hidden="false" customHeight="false" outlineLevel="0" collapsed="false">
      <c r="A66" s="9" t="s">
        <v>11</v>
      </c>
      <c r="B66" s="9" t="s">
        <v>147</v>
      </c>
      <c r="C66" s="9" t="s">
        <v>47</v>
      </c>
      <c r="D66" s="10" t="s">
        <v>127</v>
      </c>
      <c r="E66" s="10" t="s">
        <v>128</v>
      </c>
      <c r="F66" s="9" t="n">
        <f aca="false">IF(OR(D66="",E66=""),1,MAX(1,DATEVALUE(E66)-DATEVALUE(D66)))</f>
        <v>3</v>
      </c>
      <c r="G66" s="11" t="n">
        <v>38202</v>
      </c>
      <c r="H66" s="11" t="n">
        <v>40533</v>
      </c>
      <c r="I66" s="11"/>
      <c r="J66" s="11"/>
      <c r="K66" s="11"/>
      <c r="L66" s="12"/>
      <c r="M66" s="13"/>
      <c r="N66" s="14" t="n">
        <f aca="false">IF(G66="","",G66/F66)</f>
        <v>12734</v>
      </c>
      <c r="O66" s="14" t="n">
        <f aca="false">IF(COUNT(H66:K66)=0,"",MIN(H66:K66)/F66)</f>
        <v>13511</v>
      </c>
      <c r="P66" s="14" t="str">
        <f aca="false">IF(L66="","",L66*95/F66)</f>
        <v/>
      </c>
      <c r="Q66" s="15" t="n">
        <f aca="false">IF(OR(N66="",O66=""),"",(IF(AND(N66&gt;7500,O66&gt;7500),O66/(1+IF(O66&lt;=1000,0,IF(O66&lt;=7500,0.05,0.18)))-IF(AND(N66&gt;7500,O66&gt;7500),N66/1.18,N66),(O66-IF(AND(N66&gt;7500,O66&gt;7500),N66/1.18,N66))/(1+IF(O66&lt;=1000,0,IF(O66&lt;=7500,0.05,0.18)))))/(IF(AND(N66&gt;7500,O66&gt;7500),N66/1.18,N66)))</f>
        <v>0.0610177477618973</v>
      </c>
      <c r="R66" s="15" t="n">
        <f aca="false">IF(OR(N66="",O66=""),"",((O66-N66)/1.18)/N66)</f>
        <v>0.0517099557304214</v>
      </c>
      <c r="S66" s="15" t="str">
        <f aca="false">IF(OR(P66="",O66=""),"",(P66-O66)/O66)</f>
        <v/>
      </c>
      <c r="T66" s="9" t="str">
        <f aca="false">IF(AND(D66="",G66&lt;&gt;""),"no dates - assumed 1 night",IF(Q66="","",IF(Q66&gt;1.5,"check: markup &gt;150%",IF(Q66&lt;0,"below cost",""))))</f>
        <v/>
      </c>
    </row>
    <row r="67" customFormat="false" ht="15" hidden="false" customHeight="false" outlineLevel="0" collapsed="false">
      <c r="A67" s="9" t="s">
        <v>11</v>
      </c>
      <c r="B67" s="9" t="s">
        <v>147</v>
      </c>
      <c r="C67" s="9" t="s">
        <v>54</v>
      </c>
      <c r="D67" s="10" t="s">
        <v>129</v>
      </c>
      <c r="E67" s="10" t="s">
        <v>130</v>
      </c>
      <c r="F67" s="9" t="n">
        <f aca="false">IF(OR(D67="",E67=""),1,MAX(1,DATEVALUE(E67)-DATEVALUE(D67)))</f>
        <v>3</v>
      </c>
      <c r="G67" s="11" t="n">
        <v>17727</v>
      </c>
      <c r="H67" s="11" t="n">
        <v>18885</v>
      </c>
      <c r="I67" s="11"/>
      <c r="J67" s="11"/>
      <c r="K67" s="11"/>
      <c r="L67" s="12"/>
      <c r="M67" s="13"/>
      <c r="N67" s="14" t="n">
        <f aca="false">IF(G67="","",G67/F67)</f>
        <v>5909</v>
      </c>
      <c r="O67" s="14" t="n">
        <f aca="false">IF(COUNT(H67:K67)=0,"",MIN(H67:K67)/F67)</f>
        <v>6295</v>
      </c>
      <c r="P67" s="14" t="str">
        <f aca="false">IF(L67="","",L67*95/F67)</f>
        <v/>
      </c>
      <c r="Q67" s="15" t="n">
        <f aca="false">IF(OR(N67="",O67=""),"",(IF(AND(N67&gt;7500,O67&gt;7500),O67/(1+IF(O67&lt;=1000,0,IF(O67&lt;=7500,0.05,0.18)))-IF(AND(N67&gt;7500,O67&gt;7500),N67/1.18,N67),(O67-IF(AND(N67&gt;7500,O67&gt;7500),N67/1.18,N67))/(1+IF(O67&lt;=1000,0,IF(O67&lt;=7500,0.05,0.18)))))/(IF(AND(N67&gt;7500,O67&gt;7500),N67/1.18,N67)))</f>
        <v>0.0622134113418595</v>
      </c>
      <c r="R67" s="15" t="n">
        <f aca="false">IF(OR(N67="",O67=""),"",((O67-N67)/1.18)/N67)</f>
        <v>0.0553593914482648</v>
      </c>
      <c r="S67" s="15" t="str">
        <f aca="false">IF(OR(P67="",O67=""),"",(P67-O67)/O67)</f>
        <v/>
      </c>
      <c r="T67" s="9" t="str">
        <f aca="false">IF(AND(D67="",G67&lt;&gt;""),"no dates - assumed 1 night",IF(Q67="","",IF(Q67&gt;1.5,"check: markup &gt;150%",IF(Q67&lt;0,"below cost",""))))</f>
        <v/>
      </c>
    </row>
    <row r="68" customFormat="false" ht="15" hidden="false" customHeight="false" outlineLevel="0" collapsed="false">
      <c r="A68" s="9" t="s">
        <v>11</v>
      </c>
      <c r="B68" s="9" t="s">
        <v>148</v>
      </c>
      <c r="C68" s="9" t="s">
        <v>41</v>
      </c>
      <c r="D68" s="10" t="s">
        <v>99</v>
      </c>
      <c r="E68" s="10" t="s">
        <v>89</v>
      </c>
      <c r="F68" s="9" t="n">
        <f aca="false">IF(OR(D68="",E68=""),1,MAX(1,DATEVALUE(E68)-DATEVALUE(D68)))</f>
        <v>3</v>
      </c>
      <c r="G68" s="11" t="n">
        <v>51603</v>
      </c>
      <c r="H68" s="11" t="n">
        <v>51582</v>
      </c>
      <c r="I68" s="11"/>
      <c r="J68" s="11"/>
      <c r="K68" s="11"/>
      <c r="L68" s="12"/>
      <c r="M68" s="13"/>
      <c r="N68" s="14" t="n">
        <f aca="false">IF(G68="","",G68/F68)</f>
        <v>17201</v>
      </c>
      <c r="O68" s="14" t="n">
        <f aca="false">IF(COUNT(H68:K68)=0,"",MIN(H68:K68)/F68)</f>
        <v>17194</v>
      </c>
      <c r="P68" s="14" t="str">
        <f aca="false">IF(L68="","",L68*95/F68)</f>
        <v/>
      </c>
      <c r="Q68" s="15" t="n">
        <f aca="false">IF(OR(N68="",O68=""),"",(IF(AND(N68&gt;7500,O68&gt;7500),O68/(1+IF(O68&lt;=1000,0,IF(O68&lt;=7500,0.05,0.18)))-IF(AND(N68&gt;7500,O68&gt;7500),N68/1.18,N68),(O68-IF(AND(N68&gt;7500,O68&gt;7500),N68/1.18,N68))/(1+IF(O68&lt;=1000,0,IF(O68&lt;=7500,0.05,0.18)))))/(IF(AND(N68&gt;7500,O68&gt;7500),N68/1.18,N68)))</f>
        <v>-0.000406953084122963</v>
      </c>
      <c r="R68" s="15" t="n">
        <f aca="false">IF(OR(N68="",O68=""),"",((O68-N68)/1.18)/N68)</f>
        <v>-0.000344875495019505</v>
      </c>
      <c r="S68" s="15" t="str">
        <f aca="false">IF(OR(P68="",O68=""),"",(P68-O68)/O68)</f>
        <v/>
      </c>
      <c r="T68" s="9" t="str">
        <f aca="false">IF(AND(D68="",G68&lt;&gt;""),"no dates - assumed 1 night",IF(Q68="","",IF(Q68&gt;1.5,"check: markup &gt;150%",IF(Q68&lt;0,"below cost",""))))</f>
        <v>below cost</v>
      </c>
    </row>
    <row r="69" customFormat="false" ht="15" hidden="false" customHeight="false" outlineLevel="0" collapsed="false">
      <c r="A69" s="9" t="s">
        <v>11</v>
      </c>
      <c r="B69" s="9" t="s">
        <v>148</v>
      </c>
      <c r="C69" s="9" t="s">
        <v>44</v>
      </c>
      <c r="D69" s="10" t="s">
        <v>103</v>
      </c>
      <c r="E69" s="10" t="s">
        <v>104</v>
      </c>
      <c r="F69" s="9" t="n">
        <f aca="false">IF(OR(D69="",E69=""),1,MAX(1,DATEVALUE(E69)-DATEVALUE(D69)))</f>
        <v>3</v>
      </c>
      <c r="G69" s="11" t="n">
        <v>51603</v>
      </c>
      <c r="H69" s="11" t="n">
        <v>43802</v>
      </c>
      <c r="I69" s="11"/>
      <c r="J69" s="11"/>
      <c r="K69" s="11"/>
      <c r="L69" s="12"/>
      <c r="M69" s="13"/>
      <c r="N69" s="14" t="n">
        <f aca="false">IF(G69="","",G69/F69)</f>
        <v>17201</v>
      </c>
      <c r="O69" s="14" t="n">
        <f aca="false">IF(COUNT(H69:K69)=0,"",MIN(H69:K69)/F69)</f>
        <v>14600.6666666667</v>
      </c>
      <c r="P69" s="14" t="str">
        <f aca="false">IF(L69="","",L69*95/F69)</f>
        <v/>
      </c>
      <c r="Q69" s="15" t="n">
        <f aca="false">IF(OR(N69="",O69=""),"",(IF(AND(N69&gt;7500,O69&gt;7500),O69/(1+IF(O69&lt;=1000,0,IF(O69&lt;=7500,0.05,0.18)))-IF(AND(N69&gt;7500,O69&gt;7500),N69/1.18,N69),(O69-IF(AND(N69&gt;7500,O69&gt;7500),N69/1.18,N69))/(1+IF(O69&lt;=1000,0,IF(O69&lt;=7500,0.05,0.18)))))/(IF(AND(N69&gt;7500,O69&gt;7500),N69/1.18,N69)))</f>
        <v>-0.151173381392555</v>
      </c>
      <c r="R69" s="15" t="n">
        <f aca="false">IF(OR(N69="",O69=""),"",((O69-N69)/1.18)/N69)</f>
        <v>-0.128113035078436</v>
      </c>
      <c r="S69" s="15" t="str">
        <f aca="false">IF(OR(P69="",O69=""),"",(P69-O69)/O69)</f>
        <v/>
      </c>
      <c r="T69" s="9" t="str">
        <f aca="false">IF(AND(D69="",G69&lt;&gt;""),"no dates - assumed 1 night",IF(Q69="","",IF(Q69&gt;1.5,"check: markup &gt;150%",IF(Q69&lt;0,"below cost",""))))</f>
        <v>below cost</v>
      </c>
    </row>
    <row r="70" customFormat="false" ht="15" hidden="false" customHeight="false" outlineLevel="0" collapsed="false">
      <c r="A70" s="9" t="s">
        <v>11</v>
      </c>
      <c r="B70" s="9" t="s">
        <v>148</v>
      </c>
      <c r="C70" s="9" t="s">
        <v>47</v>
      </c>
      <c r="D70" s="10" t="s">
        <v>127</v>
      </c>
      <c r="E70" s="10" t="s">
        <v>128</v>
      </c>
      <c r="F70" s="9" t="n">
        <f aca="false">IF(OR(D70="",E70=""),1,MAX(1,DATEVALUE(E70)-DATEVALUE(D70)))</f>
        <v>3</v>
      </c>
      <c r="G70" s="11" t="n">
        <v>51603</v>
      </c>
      <c r="H70" s="11" t="n">
        <v>43339</v>
      </c>
      <c r="I70" s="11"/>
      <c r="J70" s="11"/>
      <c r="K70" s="11"/>
      <c r="L70" s="12"/>
      <c r="M70" s="13"/>
      <c r="N70" s="14" t="n">
        <f aca="false">IF(G70="","",G70/F70)</f>
        <v>17201</v>
      </c>
      <c r="O70" s="14" t="n">
        <f aca="false">IF(COUNT(H70:K70)=0,"",MIN(H70:K70)/F70)</f>
        <v>14446.3333333333</v>
      </c>
      <c r="P70" s="14" t="str">
        <f aca="false">IF(L70="","",L70*95/F70)</f>
        <v/>
      </c>
      <c r="Q70" s="15" t="n">
        <f aca="false">IF(OR(N70="",O70=""),"",(IF(AND(N70&gt;7500,O70&gt;7500),O70/(1+IF(O70&lt;=1000,0,IF(O70&lt;=7500,0.05,0.18)))-IF(AND(N70&gt;7500,O70&gt;7500),N70/1.18,N70),(O70-IF(AND(N70&gt;7500,O70&gt;7500),N70/1.18,N70))/(1+IF(O70&lt;=1000,0,IF(O70&lt;=7500,0.05,0.18)))))/(IF(AND(N70&gt;7500,O70&gt;7500),N70/1.18,N70)))</f>
        <v>-0.160145727961553</v>
      </c>
      <c r="R70" s="15" t="n">
        <f aca="false">IF(OR(N70="",O70=""),"",((O70-N70)/1.18)/N70)</f>
        <v>-0.135716718611485</v>
      </c>
      <c r="S70" s="15" t="str">
        <f aca="false">IF(OR(P70="",O70=""),"",(P70-O70)/O70)</f>
        <v/>
      </c>
      <c r="T70" s="9" t="str">
        <f aca="false">IF(AND(D70="",G70&lt;&gt;""),"no dates - assumed 1 night",IF(Q70="","",IF(Q70&gt;1.5,"check: markup &gt;150%",IF(Q70&lt;0,"below cost",""))))</f>
        <v>below cost</v>
      </c>
    </row>
    <row r="71" customFormat="false" ht="15" hidden="false" customHeight="false" outlineLevel="0" collapsed="false">
      <c r="A71" s="9" t="s">
        <v>11</v>
      </c>
      <c r="B71" s="9" t="s">
        <v>149</v>
      </c>
      <c r="C71" s="9" t="s">
        <v>44</v>
      </c>
      <c r="D71" s="10" t="s">
        <v>103</v>
      </c>
      <c r="E71" s="10" t="s">
        <v>104</v>
      </c>
      <c r="F71" s="9" t="n">
        <f aca="false">IF(OR(D71="",E71=""),1,MAX(1,DATEVALUE(E71)-DATEVALUE(D71)))</f>
        <v>3</v>
      </c>
      <c r="G71" s="11" t="n">
        <v>17716</v>
      </c>
      <c r="H71" s="11" t="n">
        <v>19528</v>
      </c>
      <c r="I71" s="11"/>
      <c r="J71" s="11"/>
      <c r="K71" s="11"/>
      <c r="L71" s="12"/>
      <c r="M71" s="13"/>
      <c r="N71" s="14" t="n">
        <f aca="false">IF(G71="","",G71/F71)</f>
        <v>5905.33333333333</v>
      </c>
      <c r="O71" s="14" t="n">
        <f aca="false">IF(COUNT(H71:K71)=0,"",MIN(H71:K71)/F71)</f>
        <v>6509.33333333333</v>
      </c>
      <c r="P71" s="14" t="str">
        <f aca="false">IF(L71="","",L71*95/F71)</f>
        <v/>
      </c>
      <c r="Q71" s="15" t="n">
        <f aca="false">IF(OR(N71="",O71=""),"",(IF(AND(N71&gt;7500,O71&gt;7500),O71/(1+IF(O71&lt;=1000,0,IF(O71&lt;=7500,0.05,0.18)))-IF(AND(N71&gt;7500,O71&gt;7500),N71/1.18,N71),(O71-IF(AND(N71&gt;7500,O71&gt;7500),N71/1.18,N71))/(1+IF(O71&lt;=1000,0,IF(O71&lt;=7500,0.05,0.18)))))/(IF(AND(N71&gt;7500,O71&gt;7500),N71/1.18,N71)))</f>
        <v>0.097409928071477</v>
      </c>
      <c r="R71" s="15" t="n">
        <f aca="false">IF(OR(N71="",O71=""),"",((O71-N71)/1.18)/N71)</f>
        <v>0.0866783258263143</v>
      </c>
      <c r="S71" s="15" t="str">
        <f aca="false">IF(OR(P71="",O71=""),"",(P71-O71)/O71)</f>
        <v/>
      </c>
      <c r="T71" s="9" t="str">
        <f aca="false">IF(AND(D71="",G71&lt;&gt;""),"no dates - assumed 1 night",IF(Q71="","",IF(Q71&gt;1.5,"check: markup &gt;150%",IF(Q71&lt;0,"below cost",""))))</f>
        <v/>
      </c>
    </row>
    <row r="72" customFormat="false" ht="15" hidden="false" customHeight="false" outlineLevel="0" collapsed="false">
      <c r="A72" s="9" t="s">
        <v>11</v>
      </c>
      <c r="B72" s="9" t="s">
        <v>149</v>
      </c>
      <c r="C72" s="9" t="s">
        <v>47</v>
      </c>
      <c r="D72" s="10" t="s">
        <v>127</v>
      </c>
      <c r="E72" s="10" t="s">
        <v>128</v>
      </c>
      <c r="F72" s="9" t="n">
        <f aca="false">IF(OR(D72="",E72=""),1,MAX(1,DATEVALUE(E72)-DATEVALUE(D72)))</f>
        <v>3</v>
      </c>
      <c r="G72" s="11" t="n">
        <v>30896</v>
      </c>
      <c r="H72" s="11" t="n">
        <v>34335</v>
      </c>
      <c r="I72" s="11"/>
      <c r="J72" s="11"/>
      <c r="K72" s="11"/>
      <c r="L72" s="12"/>
      <c r="M72" s="13"/>
      <c r="N72" s="14" t="n">
        <f aca="false">IF(G72="","",G72/F72)</f>
        <v>10298.6666666667</v>
      </c>
      <c r="O72" s="14" t="n">
        <f aca="false">IF(COUNT(H72:K72)=0,"",MIN(H72:K72)/F72)</f>
        <v>11445</v>
      </c>
      <c r="P72" s="14" t="str">
        <f aca="false">IF(L72="","",L72*95/F72)</f>
        <v/>
      </c>
      <c r="Q72" s="15" t="n">
        <f aca="false">IF(OR(N72="",O72=""),"",(IF(AND(N72&gt;7500,O72&gt;7500),O72/(1+IF(O72&lt;=1000,0,IF(O72&lt;=7500,0.05,0.18)))-IF(AND(N72&gt;7500,O72&gt;7500),N72/1.18,N72),(O72-IF(AND(N72&gt;7500,O72&gt;7500),N72/1.18,N72))/(1+IF(O72&lt;=1000,0,IF(O72&lt;=7500,0.05,0.18)))))/(IF(AND(N72&gt;7500,O72&gt;7500),N72/1.18,N72)))</f>
        <v>0.111308907301916</v>
      </c>
      <c r="R72" s="15" t="n">
        <f aca="false">IF(OR(N72="",O72=""),"",((O72-N72)/1.18)/N72)</f>
        <v>0.094329582459251</v>
      </c>
      <c r="S72" s="15" t="str">
        <f aca="false">IF(OR(P72="",O72=""),"",(P72-O72)/O72)</f>
        <v/>
      </c>
      <c r="T72" s="9" t="str">
        <f aca="false">IF(AND(D72="",G72&lt;&gt;""),"no dates - assumed 1 night",IF(Q72="","",IF(Q72&gt;1.5,"check: markup &gt;150%",IF(Q72&lt;0,"below cost",""))))</f>
        <v/>
      </c>
    </row>
    <row r="73" customFormat="false" ht="15" hidden="false" customHeight="false" outlineLevel="0" collapsed="false">
      <c r="A73" s="9" t="s">
        <v>11</v>
      </c>
      <c r="B73" s="9" t="s">
        <v>149</v>
      </c>
      <c r="C73" s="9" t="s">
        <v>50</v>
      </c>
      <c r="D73" s="10" t="s">
        <v>48</v>
      </c>
      <c r="E73" s="10" t="s">
        <v>49</v>
      </c>
      <c r="F73" s="9" t="n">
        <f aca="false">IF(OR(D73="",E73=""),1,MAX(1,DATEVALUE(E73)-DATEVALUE(D73)))</f>
        <v>3</v>
      </c>
      <c r="G73" s="11" t="n">
        <v>30831</v>
      </c>
      <c r="H73" s="11" t="n">
        <v>34335</v>
      </c>
      <c r="I73" s="11"/>
      <c r="J73" s="11"/>
      <c r="K73" s="11"/>
      <c r="L73" s="12"/>
      <c r="M73" s="13"/>
      <c r="N73" s="14" t="n">
        <f aca="false">IF(G73="","",G73/F73)</f>
        <v>10277</v>
      </c>
      <c r="O73" s="14" t="n">
        <f aca="false">IF(COUNT(H73:K73)=0,"",MIN(H73:K73)/F73)</f>
        <v>11445</v>
      </c>
      <c r="P73" s="14" t="str">
        <f aca="false">IF(L73="","",L73*95/F73)</f>
        <v/>
      </c>
      <c r="Q73" s="15" t="n">
        <f aca="false">IF(OR(N73="",O73=""),"",(IF(AND(N73&gt;7500,O73&gt;7500),O73/(1+IF(O73&lt;=1000,0,IF(O73&lt;=7500,0.05,0.18)))-IF(AND(N73&gt;7500,O73&gt;7500),N73/1.18,N73),(O73-IF(AND(N73&gt;7500,O73&gt;7500),N73/1.18,N73))/(1+IF(O73&lt;=1000,0,IF(O73&lt;=7500,0.05,0.18)))))/(IF(AND(N73&gt;7500,O73&gt;7500),N73/1.18,N73)))</f>
        <v>0.113651843923324</v>
      </c>
      <c r="R73" s="15" t="n">
        <f aca="false">IF(OR(N73="",O73=""),"",((O73-N73)/1.18)/N73)</f>
        <v>0.0963151219689186</v>
      </c>
      <c r="S73" s="15" t="str">
        <f aca="false">IF(OR(P73="",O73=""),"",(P73-O73)/O73)</f>
        <v/>
      </c>
      <c r="T73" s="9" t="str">
        <f aca="false">IF(AND(D73="",G73&lt;&gt;""),"no dates - assumed 1 night",IF(Q73="","",IF(Q73&gt;1.5,"check: markup &gt;150%",IF(Q73&lt;0,"below cost",""))))</f>
        <v/>
      </c>
    </row>
    <row r="74" customFormat="false" ht="15" hidden="false" customHeight="false" outlineLevel="0" collapsed="false">
      <c r="A74" s="9" t="s">
        <v>11</v>
      </c>
      <c r="B74" s="9" t="s">
        <v>149</v>
      </c>
      <c r="C74" s="9" t="s">
        <v>54</v>
      </c>
      <c r="D74" s="10" t="s">
        <v>129</v>
      </c>
      <c r="E74" s="10" t="s">
        <v>130</v>
      </c>
      <c r="F74" s="9" t="n">
        <f aca="false">IF(OR(D74="",E74=""),1,MAX(1,DATEVALUE(E74)-DATEVALUE(D74)))</f>
        <v>3</v>
      </c>
      <c r="G74" s="11" t="n">
        <v>30831</v>
      </c>
      <c r="H74" s="11" t="n">
        <v>34689</v>
      </c>
      <c r="I74" s="11"/>
      <c r="J74" s="11"/>
      <c r="K74" s="11"/>
      <c r="L74" s="12"/>
      <c r="M74" s="13"/>
      <c r="N74" s="14" t="n">
        <f aca="false">IF(G74="","",G74/F74)</f>
        <v>10277</v>
      </c>
      <c r="O74" s="14" t="n">
        <f aca="false">IF(COUNT(H74:K74)=0,"",MIN(H74:K74)/F74)</f>
        <v>11563</v>
      </c>
      <c r="P74" s="14" t="str">
        <f aca="false">IF(L74="","",L74*95/F74)</f>
        <v/>
      </c>
      <c r="Q74" s="15" t="n">
        <f aca="false">IF(OR(N74="",O74=""),"",(IF(AND(N74&gt;7500,O74&gt;7500),O74/(1+IF(O74&lt;=1000,0,IF(O74&lt;=7500,0.05,0.18)))-IF(AND(N74&gt;7500,O74&gt;7500),N74/1.18,N74),(O74-IF(AND(N74&gt;7500,O74&gt;7500),N74/1.18,N74))/(1+IF(O74&lt;=1000,0,IF(O74&lt;=7500,0.05,0.18)))))/(IF(AND(N74&gt;7500,O74&gt;7500),N74/1.18,N74)))</f>
        <v>0.125133793908728</v>
      </c>
      <c r="R74" s="15" t="n">
        <f aca="false">IF(OR(N74="",O74=""),"",((O74-N74)/1.18)/N74)</f>
        <v>0.106045588058244</v>
      </c>
      <c r="S74" s="15" t="str">
        <f aca="false">IF(OR(P74="",O74=""),"",(P74-O74)/O74)</f>
        <v/>
      </c>
      <c r="T74" s="9" t="str">
        <f aca="false">IF(AND(D74="",G74&lt;&gt;""),"no dates - assumed 1 night",IF(Q74="","",IF(Q74&gt;1.5,"check: markup &gt;150%",IF(Q74&lt;0,"below cost",""))))</f>
        <v/>
      </c>
    </row>
    <row r="75" customFormat="false" ht="15" hidden="false" customHeight="false" outlineLevel="0" collapsed="false">
      <c r="A75" s="9" t="s">
        <v>11</v>
      </c>
      <c r="B75" s="9" t="s">
        <v>150</v>
      </c>
      <c r="C75" s="9" t="s">
        <v>41</v>
      </c>
      <c r="D75" s="10" t="s">
        <v>99</v>
      </c>
      <c r="E75" s="10" t="s">
        <v>89</v>
      </c>
      <c r="F75" s="9" t="n">
        <f aca="false">IF(OR(D75="",E75=""),1,MAX(1,DATEVALUE(E75)-DATEVALUE(D75)))</f>
        <v>3</v>
      </c>
      <c r="G75" s="11" t="n">
        <v>16226</v>
      </c>
      <c r="H75" s="11" t="n">
        <v>21753</v>
      </c>
      <c r="I75" s="11"/>
      <c r="J75" s="11"/>
      <c r="K75" s="11"/>
      <c r="L75" s="12"/>
      <c r="M75" s="13"/>
      <c r="N75" s="14" t="n">
        <f aca="false">IF(G75="","",G75/F75)</f>
        <v>5408.66666666667</v>
      </c>
      <c r="O75" s="14" t="n">
        <f aca="false">IF(COUNT(H75:K75)=0,"",MIN(H75:K75)/F75)</f>
        <v>7251</v>
      </c>
      <c r="P75" s="14" t="str">
        <f aca="false">IF(L75="","",L75*95/F75)</f>
        <v/>
      </c>
      <c r="Q75" s="15" t="n">
        <f aca="false">IF(OR(N75="",O75=""),"",(IF(AND(N75&gt;7500,O75&gt;7500),O75/(1+IF(O75&lt;=1000,0,IF(O75&lt;=7500,0.05,0.18)))-IF(AND(N75&gt;7500,O75&gt;7500),N75/1.18,N75),(O75-IF(AND(N75&gt;7500,O75&gt;7500),N75/1.18,N75))/(1+IF(O75&lt;=1000,0,IF(O75&lt;=7500,0.05,0.18)))))/(IF(AND(N75&gt;7500,O75&gt;7500),N75/1.18,N75)))</f>
        <v>0.324405862431254</v>
      </c>
      <c r="R75" s="15" t="n">
        <f aca="false">IF(OR(N75="",O75=""),"",((O75-N75)/1.18)/N75)</f>
        <v>0.288666233519336</v>
      </c>
      <c r="S75" s="15" t="str">
        <f aca="false">IF(OR(P75="",O75=""),"",(P75-O75)/O75)</f>
        <v/>
      </c>
      <c r="T75" s="9" t="str">
        <f aca="false">IF(AND(D75="",G75&lt;&gt;""),"no dates - assumed 1 night",IF(Q75="","",IF(Q75&gt;1.5,"check: markup &gt;150%",IF(Q75&lt;0,"below cost",""))))</f>
        <v/>
      </c>
    </row>
    <row r="76" customFormat="false" ht="15" hidden="false" customHeight="false" outlineLevel="0" collapsed="false">
      <c r="A76" s="9" t="s">
        <v>11</v>
      </c>
      <c r="B76" s="9" t="s">
        <v>150</v>
      </c>
      <c r="C76" s="9" t="s">
        <v>44</v>
      </c>
      <c r="D76" s="10" t="s">
        <v>103</v>
      </c>
      <c r="E76" s="10" t="s">
        <v>104</v>
      </c>
      <c r="F76" s="9" t="n">
        <f aca="false">IF(OR(D76="",E76=""),1,MAX(1,DATEVALUE(E76)-DATEVALUE(D76)))</f>
        <v>3</v>
      </c>
      <c r="G76" s="11" t="n">
        <v>16226</v>
      </c>
      <c r="H76" s="11" t="n">
        <v>22205</v>
      </c>
      <c r="I76" s="11"/>
      <c r="J76" s="11"/>
      <c r="K76" s="11"/>
      <c r="L76" s="12"/>
      <c r="M76" s="13"/>
      <c r="N76" s="14" t="n">
        <f aca="false">IF(G76="","",G76/F76)</f>
        <v>5408.66666666667</v>
      </c>
      <c r="O76" s="14" t="n">
        <f aca="false">IF(COUNT(H76:K76)=0,"",MIN(H76:K76)/F76)</f>
        <v>7401.66666666667</v>
      </c>
      <c r="P76" s="14" t="str">
        <f aca="false">IF(L76="","",L76*95/F76)</f>
        <v/>
      </c>
      <c r="Q76" s="15" t="n">
        <f aca="false">IF(OR(N76="",O76=""),"",(IF(AND(N76&gt;7500,O76&gt;7500),O76/(1+IF(O76&lt;=1000,0,IF(O76&lt;=7500,0.05,0.18)))-IF(AND(N76&gt;7500,O76&gt;7500),N76/1.18,N76),(O76-IF(AND(N76&gt;7500,O76&gt;7500),N76/1.18,N76))/(1+IF(O76&lt;=1000,0,IF(O76&lt;=7500,0.05,0.18)))))/(IF(AND(N76&gt;7500,O76&gt;7500),N76/1.18,N76)))</f>
        <v>0.350935887728689</v>
      </c>
      <c r="R76" s="15" t="n">
        <f aca="false">IF(OR(N76="",O76=""),"",((O76-N76)/1.18)/N76)</f>
        <v>0.312273459419597</v>
      </c>
      <c r="S76" s="15" t="str">
        <f aca="false">IF(OR(P76="",O76=""),"",(P76-O76)/O76)</f>
        <v/>
      </c>
      <c r="T76" s="9" t="str">
        <f aca="false">IF(AND(D76="",G76&lt;&gt;""),"no dates - assumed 1 night",IF(Q76="","",IF(Q76&gt;1.5,"check: markup &gt;150%",IF(Q76&lt;0,"below cost",""))))</f>
        <v/>
      </c>
    </row>
    <row r="77" customFormat="false" ht="15" hidden="false" customHeight="false" outlineLevel="0" collapsed="false">
      <c r="A77" s="9" t="s">
        <v>11</v>
      </c>
      <c r="B77" s="9" t="s">
        <v>150</v>
      </c>
      <c r="C77" s="9" t="s">
        <v>47</v>
      </c>
      <c r="D77" s="10" t="s">
        <v>127</v>
      </c>
      <c r="E77" s="10" t="s">
        <v>128</v>
      </c>
      <c r="F77" s="9" t="n">
        <f aca="false">IF(OR(D77="",E77=""),1,MAX(1,DATEVALUE(E77)-DATEVALUE(D77)))</f>
        <v>3</v>
      </c>
      <c r="G77" s="11" t="n">
        <v>27321</v>
      </c>
      <c r="H77" s="11" t="n">
        <v>33450</v>
      </c>
      <c r="I77" s="11"/>
      <c r="J77" s="11"/>
      <c r="K77" s="11"/>
      <c r="L77" s="12"/>
      <c r="M77" s="13"/>
      <c r="N77" s="14" t="n">
        <f aca="false">IF(G77="","",G77/F77)</f>
        <v>9107</v>
      </c>
      <c r="O77" s="14" t="n">
        <f aca="false">IF(COUNT(H77:K77)=0,"",MIN(H77:K77)/F77)</f>
        <v>11150</v>
      </c>
      <c r="P77" s="14" t="str">
        <f aca="false">IF(L77="","",L77*95/F77)</f>
        <v/>
      </c>
      <c r="Q77" s="15" t="n">
        <f aca="false">IF(OR(N77="",O77=""),"",(IF(AND(N77&gt;7500,O77&gt;7500),O77/(1+IF(O77&lt;=1000,0,IF(O77&lt;=7500,0.05,0.18)))-IF(AND(N77&gt;7500,O77&gt;7500),N77/1.18,N77),(O77-IF(AND(N77&gt;7500,O77&gt;7500),N77/1.18,N77))/(1+IF(O77&lt;=1000,0,IF(O77&lt;=7500,0.05,0.18)))))/(IF(AND(N77&gt;7500,O77&gt;7500),N77/1.18,N77)))</f>
        <v>0.224332930712639</v>
      </c>
      <c r="R77" s="15" t="n">
        <f aca="false">IF(OR(N77="",O77=""),"",((O77-N77)/1.18)/N77)</f>
        <v>0.190112653146304</v>
      </c>
      <c r="S77" s="15" t="str">
        <f aca="false">IF(OR(P77="",O77=""),"",(P77-O77)/O77)</f>
        <v/>
      </c>
      <c r="T77" s="9" t="str">
        <f aca="false">IF(AND(D77="",G77&lt;&gt;""),"no dates - assumed 1 night",IF(Q77="","",IF(Q77&gt;1.5,"check: markup &gt;150%",IF(Q77&lt;0,"below cost",""))))</f>
        <v/>
      </c>
    </row>
    <row r="78" customFormat="false" ht="15" hidden="false" customHeight="false" outlineLevel="0" collapsed="false">
      <c r="A78" s="9" t="s">
        <v>11</v>
      </c>
      <c r="B78" s="9" t="s">
        <v>150</v>
      </c>
      <c r="C78" s="9" t="s">
        <v>50</v>
      </c>
      <c r="D78" s="10" t="s">
        <v>129</v>
      </c>
      <c r="E78" s="10" t="s">
        <v>130</v>
      </c>
      <c r="F78" s="9" t="n">
        <f aca="false">IF(OR(D78="",E78=""),1,MAX(1,DATEVALUE(E78)-DATEVALUE(D78)))</f>
        <v>3</v>
      </c>
      <c r="G78" s="11" t="n">
        <v>26682</v>
      </c>
      <c r="H78" s="11" t="n">
        <v>33460</v>
      </c>
      <c r="I78" s="11"/>
      <c r="J78" s="11"/>
      <c r="K78" s="11"/>
      <c r="L78" s="12"/>
      <c r="M78" s="13"/>
      <c r="N78" s="14" t="n">
        <f aca="false">IF(G78="","",G78/F78)</f>
        <v>8894</v>
      </c>
      <c r="O78" s="14" t="n">
        <f aca="false">IF(COUNT(H78:K78)=0,"",MIN(H78:K78)/F78)</f>
        <v>11153.3333333333</v>
      </c>
      <c r="P78" s="14" t="str">
        <f aca="false">IF(L78="","",L78*95/F78)</f>
        <v/>
      </c>
      <c r="Q78" s="15" t="n">
        <f aca="false">IF(OR(N78="",O78=""),"",(IF(AND(N78&gt;7500,O78&gt;7500),O78/(1+IF(O78&lt;=1000,0,IF(O78&lt;=7500,0.05,0.18)))-IF(AND(N78&gt;7500,O78&gt;7500),N78/1.18,N78),(O78-IF(AND(N78&gt;7500,O78&gt;7500),N78/1.18,N78))/(1+IF(O78&lt;=1000,0,IF(O78&lt;=7500,0.05,0.18)))))/(IF(AND(N78&gt;7500,O78&gt;7500),N78/1.18,N78)))</f>
        <v>0.254028933363316</v>
      </c>
      <c r="R78" s="15" t="n">
        <f aca="false">IF(OR(N78="",O78=""),"",((O78-N78)/1.18)/N78)</f>
        <v>0.215278757087556</v>
      </c>
      <c r="S78" s="15" t="str">
        <f aca="false">IF(OR(P78="",O78=""),"",(P78-O78)/O78)</f>
        <v/>
      </c>
      <c r="T78" s="9" t="str">
        <f aca="false">IF(AND(D78="",G78&lt;&gt;""),"no dates - assumed 1 night",IF(Q78="","",IF(Q78&gt;1.5,"check: markup &gt;150%",IF(Q78&lt;0,"below cost",""))))</f>
        <v/>
      </c>
    </row>
    <row r="79" customFormat="false" ht="15" hidden="false" customHeight="false" outlineLevel="0" collapsed="false">
      <c r="A79" s="9" t="s">
        <v>11</v>
      </c>
      <c r="B79" s="9" t="s">
        <v>151</v>
      </c>
      <c r="C79" s="9" t="s">
        <v>41</v>
      </c>
      <c r="D79" s="10" t="s">
        <v>99</v>
      </c>
      <c r="E79" s="10" t="s">
        <v>89</v>
      </c>
      <c r="F79" s="9" t="n">
        <f aca="false">IF(OR(D79="",E79=""),1,MAX(1,DATEVALUE(E79)-DATEVALUE(D79)))</f>
        <v>3</v>
      </c>
      <c r="G79" s="11" t="n">
        <v>86816</v>
      </c>
      <c r="H79" s="11" t="n">
        <v>94150</v>
      </c>
      <c r="I79" s="11"/>
      <c r="J79" s="11"/>
      <c r="K79" s="11"/>
      <c r="L79" s="12"/>
      <c r="M79" s="13"/>
      <c r="N79" s="14" t="n">
        <f aca="false">IF(G79="","",G79/F79)</f>
        <v>28938.6666666667</v>
      </c>
      <c r="O79" s="14" t="n">
        <f aca="false">IF(COUNT(H79:K79)=0,"",MIN(H79:K79)/F79)</f>
        <v>31383.3333333333</v>
      </c>
      <c r="P79" s="14" t="str">
        <f aca="false">IF(L79="","",L79*95/F79)</f>
        <v/>
      </c>
      <c r="Q79" s="15" t="n">
        <f aca="false">IF(OR(N79="",O79=""),"",(IF(AND(N79&gt;7500,O79&gt;7500),O79/(1+IF(O79&lt;=1000,0,IF(O79&lt;=7500,0.05,0.18)))-IF(AND(N79&gt;7500,O79&gt;7500),N79/1.18,N79),(O79-IF(AND(N79&gt;7500,O79&gt;7500),N79/1.18,N79))/(1+IF(O79&lt;=1000,0,IF(O79&lt;=7500,0.05,0.18)))))/(IF(AND(N79&gt;7500,O79&gt;7500),N79/1.18,N79)))</f>
        <v>0.0844775156653151</v>
      </c>
      <c r="R79" s="15" t="n">
        <f aca="false">IF(OR(N79="",O79=""),"",((O79-N79)/1.18)/N79)</f>
        <v>0.071591114970606</v>
      </c>
      <c r="S79" s="15" t="str">
        <f aca="false">IF(OR(P79="",O79=""),"",(P79-O79)/O79)</f>
        <v/>
      </c>
      <c r="T79" s="9" t="str">
        <f aca="false">IF(AND(D79="",G79&lt;&gt;""),"no dates - assumed 1 night",IF(Q79="","",IF(Q79&gt;1.5,"check: markup &gt;150%",IF(Q79&lt;0,"below cost",""))))</f>
        <v/>
      </c>
    </row>
    <row r="80" customFormat="false" ht="15" hidden="false" customHeight="false" outlineLevel="0" collapsed="false">
      <c r="A80" s="9" t="s">
        <v>11</v>
      </c>
      <c r="B80" s="9" t="s">
        <v>151</v>
      </c>
      <c r="C80" s="9" t="s">
        <v>44</v>
      </c>
      <c r="D80" s="10" t="s">
        <v>103</v>
      </c>
      <c r="E80" s="10" t="s">
        <v>104</v>
      </c>
      <c r="F80" s="9" t="n">
        <f aca="false">IF(OR(D80="",E80=""),1,MAX(1,DATEVALUE(E80)-DATEVALUE(D80)))</f>
        <v>3</v>
      </c>
      <c r="G80" s="11" t="n">
        <v>86816</v>
      </c>
      <c r="H80" s="11" t="n">
        <v>94150</v>
      </c>
      <c r="I80" s="11"/>
      <c r="J80" s="11"/>
      <c r="K80" s="11"/>
      <c r="L80" s="12"/>
      <c r="M80" s="13"/>
      <c r="N80" s="14" t="n">
        <f aca="false">IF(G80="","",G80/F80)</f>
        <v>28938.6666666667</v>
      </c>
      <c r="O80" s="14" t="n">
        <f aca="false">IF(COUNT(H80:K80)=0,"",MIN(H80:K80)/F80)</f>
        <v>31383.3333333333</v>
      </c>
      <c r="P80" s="14" t="str">
        <f aca="false">IF(L80="","",L80*95/F80)</f>
        <v/>
      </c>
      <c r="Q80" s="15" t="n">
        <f aca="false">IF(OR(N80="",O80=""),"",(IF(AND(N80&gt;7500,O80&gt;7500),O80/(1+IF(O80&lt;=1000,0,IF(O80&lt;=7500,0.05,0.18)))-IF(AND(N80&gt;7500,O80&gt;7500),N80/1.18,N80),(O80-IF(AND(N80&gt;7500,O80&gt;7500),N80/1.18,N80))/(1+IF(O80&lt;=1000,0,IF(O80&lt;=7500,0.05,0.18)))))/(IF(AND(N80&gt;7500,O80&gt;7500),N80/1.18,N80)))</f>
        <v>0.0844775156653151</v>
      </c>
      <c r="R80" s="15" t="n">
        <f aca="false">IF(OR(N80="",O80=""),"",((O80-N80)/1.18)/N80)</f>
        <v>0.071591114970606</v>
      </c>
      <c r="S80" s="15" t="str">
        <f aca="false">IF(OR(P80="",O80=""),"",(P80-O80)/O80)</f>
        <v/>
      </c>
      <c r="T80" s="9" t="str">
        <f aca="false">IF(AND(D80="",G80&lt;&gt;""),"no dates - assumed 1 night",IF(Q80="","",IF(Q80&gt;1.5,"check: markup &gt;150%",IF(Q80&lt;0,"below cost",""))))</f>
        <v/>
      </c>
    </row>
    <row r="81" customFormat="false" ht="15" hidden="false" customHeight="false" outlineLevel="0" collapsed="false">
      <c r="A81" s="9" t="s">
        <v>11</v>
      </c>
      <c r="B81" s="9" t="s">
        <v>151</v>
      </c>
      <c r="C81" s="9" t="s">
        <v>47</v>
      </c>
      <c r="D81" s="10" t="s">
        <v>127</v>
      </c>
      <c r="E81" s="10" t="s">
        <v>128</v>
      </c>
      <c r="F81" s="9" t="n">
        <f aca="false">IF(OR(D81="",E81=""),1,MAX(1,DATEVALUE(E81)-DATEVALUE(D81)))</f>
        <v>3</v>
      </c>
      <c r="G81" s="11" t="n">
        <v>72662</v>
      </c>
      <c r="H81" s="11" t="n">
        <v>94262</v>
      </c>
      <c r="I81" s="11"/>
      <c r="J81" s="11"/>
      <c r="K81" s="11"/>
      <c r="L81" s="12"/>
      <c r="M81" s="13"/>
      <c r="N81" s="14" t="n">
        <f aca="false">IF(G81="","",G81/F81)</f>
        <v>24220.6666666667</v>
      </c>
      <c r="O81" s="14" t="n">
        <f aca="false">IF(COUNT(H81:K81)=0,"",MIN(H81:K81)/F81)</f>
        <v>31420.6666666667</v>
      </c>
      <c r="P81" s="14" t="str">
        <f aca="false">IF(L81="","",L81*95/F81)</f>
        <v/>
      </c>
      <c r="Q81" s="15" t="n">
        <f aca="false">IF(OR(N81="",O81=""),"",(IF(AND(N81&gt;7500,O81&gt;7500),O81/(1+IF(O81&lt;=1000,0,IF(O81&lt;=7500,0.05,0.18)))-IF(AND(N81&gt;7500,O81&gt;7500),N81/1.18,N81),(O81-IF(AND(N81&gt;7500,O81&gt;7500),N81/1.18,N81))/(1+IF(O81&lt;=1000,0,IF(O81&lt;=7500,0.05,0.18)))))/(IF(AND(N81&gt;7500,O81&gt;7500),N81/1.18,N81)))</f>
        <v>0.297266796950263</v>
      </c>
      <c r="R81" s="15" t="n">
        <f aca="false">IF(OR(N81="",O81=""),"",((O81-N81)/1.18)/N81)</f>
        <v>0.25192101436463</v>
      </c>
      <c r="S81" s="15" t="str">
        <f aca="false">IF(OR(P81="",O81=""),"",(P81-O81)/O81)</f>
        <v/>
      </c>
      <c r="T81" s="9" t="str">
        <f aca="false">IF(AND(D81="",G81&lt;&gt;""),"no dates - assumed 1 night",IF(Q81="","",IF(Q81&gt;1.5,"check: markup &gt;150%",IF(Q81&lt;0,"below cost",""))))</f>
        <v/>
      </c>
    </row>
    <row r="82" customFormat="false" ht="15" hidden="false" customHeight="false" outlineLevel="0" collapsed="false">
      <c r="A82" s="9" t="s">
        <v>11</v>
      </c>
      <c r="B82" s="9" t="s">
        <v>151</v>
      </c>
      <c r="C82" s="9" t="s">
        <v>50</v>
      </c>
      <c r="D82" s="10" t="s">
        <v>48</v>
      </c>
      <c r="E82" s="10" t="s">
        <v>49</v>
      </c>
      <c r="F82" s="9" t="n">
        <f aca="false">IF(OR(D82="",E82=""),1,MAX(1,DATEVALUE(E82)-DATEVALUE(D82)))</f>
        <v>3</v>
      </c>
      <c r="G82" s="11" t="n">
        <v>90720</v>
      </c>
      <c r="H82" s="11" t="n">
        <v>117688</v>
      </c>
      <c r="I82" s="11"/>
      <c r="J82" s="11"/>
      <c r="K82" s="11"/>
      <c r="L82" s="12"/>
      <c r="M82" s="13"/>
      <c r="N82" s="14" t="n">
        <f aca="false">IF(G82="","",G82/F82)</f>
        <v>30240</v>
      </c>
      <c r="O82" s="14" t="n">
        <f aca="false">IF(COUNT(H82:K82)=0,"",MIN(H82:K82)/F82)</f>
        <v>39229.3333333333</v>
      </c>
      <c r="P82" s="14" t="str">
        <f aca="false">IF(L82="","",L82*95/F82)</f>
        <v/>
      </c>
      <c r="Q82" s="15" t="n">
        <f aca="false">IF(OR(N82="",O82=""),"",(IF(AND(N82&gt;7500,O82&gt;7500),O82/(1+IF(O82&lt;=1000,0,IF(O82&lt;=7500,0.05,0.18)))-IF(AND(N82&gt;7500,O82&gt;7500),N82/1.18,N82),(O82-IF(AND(N82&gt;7500,O82&gt;7500),N82/1.18,N82))/(1+IF(O82&lt;=1000,0,IF(O82&lt;=7500,0.05,0.18)))))/(IF(AND(N82&gt;7500,O82&gt;7500),N82/1.18,N82)))</f>
        <v>0.297266313932981</v>
      </c>
      <c r="R82" s="15" t="n">
        <f aca="false">IF(OR(N82="",O82=""),"",((O82-N82)/1.18)/N82)</f>
        <v>0.25192060502795</v>
      </c>
      <c r="S82" s="15" t="str">
        <f aca="false">IF(OR(P82="",O82=""),"",(P82-O82)/O82)</f>
        <v/>
      </c>
      <c r="T82" s="9" t="str">
        <f aca="false">IF(AND(D82="",G82&lt;&gt;""),"no dates - assumed 1 night",IF(Q82="","",IF(Q82&gt;1.5,"check: markup &gt;150%",IF(Q82&lt;0,"below cost",""))))</f>
        <v/>
      </c>
    </row>
    <row r="83" customFormat="false" ht="15" hidden="false" customHeight="false" outlineLevel="0" collapsed="false">
      <c r="A83" s="9" t="s">
        <v>11</v>
      </c>
      <c r="B83" s="9" t="s">
        <v>151</v>
      </c>
      <c r="C83" s="9" t="s">
        <v>54</v>
      </c>
      <c r="D83" s="10" t="s">
        <v>129</v>
      </c>
      <c r="E83" s="10" t="s">
        <v>130</v>
      </c>
      <c r="F83" s="9" t="n">
        <f aca="false">IF(OR(D83="",E83=""),1,MAX(1,DATEVALUE(E83)-DATEVALUE(D83)))</f>
        <v>3</v>
      </c>
      <c r="G83" s="11" t="n">
        <v>103679</v>
      </c>
      <c r="H83" s="11" t="n">
        <v>134033</v>
      </c>
      <c r="I83" s="11"/>
      <c r="J83" s="11"/>
      <c r="K83" s="11"/>
      <c r="L83" s="12"/>
      <c r="M83" s="13"/>
      <c r="N83" s="14" t="n">
        <f aca="false">IF(G83="","",G83/F83)</f>
        <v>34559.6666666667</v>
      </c>
      <c r="O83" s="14" t="n">
        <f aca="false">IF(COUNT(H83:K83)=0,"",MIN(H83:K83)/F83)</f>
        <v>44677.6666666667</v>
      </c>
      <c r="P83" s="14" t="str">
        <f aca="false">IF(L83="","",L83*95/F83)</f>
        <v/>
      </c>
      <c r="Q83" s="15" t="n">
        <f aca="false">IF(OR(N83="",O83=""),"",(IF(AND(N83&gt;7500,O83&gt;7500),O83/(1+IF(O83&lt;=1000,0,IF(O83&lt;=7500,0.05,0.18)))-IF(AND(N83&gt;7500,O83&gt;7500),N83/1.18,N83),(O83-IF(AND(N83&gt;7500,O83&gt;7500),N83/1.18,N83))/(1+IF(O83&lt;=1000,0,IF(O83&lt;=7500,0.05,0.18)))))/(IF(AND(N83&gt;7500,O83&gt;7500),N83/1.18,N83)))</f>
        <v>0.292769027479046</v>
      </c>
      <c r="R83" s="15" t="n">
        <f aca="false">IF(OR(N83="",O83=""),"",((O83-N83)/1.18)/N83)</f>
        <v>0.248109345321225</v>
      </c>
      <c r="S83" s="15" t="str">
        <f aca="false">IF(OR(P83="",O83=""),"",(P83-O83)/O83)</f>
        <v/>
      </c>
      <c r="T83" s="9" t="str">
        <f aca="false">IF(AND(D83="",G83&lt;&gt;""),"no dates - assumed 1 night",IF(Q83="","",IF(Q83&gt;1.5,"check: markup &gt;150%",IF(Q83&lt;0,"below cost",""))))</f>
        <v/>
      </c>
    </row>
    <row r="84" customFormat="false" ht="15" hidden="false" customHeight="false" outlineLevel="0" collapsed="false">
      <c r="A84" s="9" t="s">
        <v>11</v>
      </c>
      <c r="B84" s="9" t="s">
        <v>152</v>
      </c>
      <c r="C84" s="9" t="s">
        <v>41</v>
      </c>
      <c r="D84" s="10" t="s">
        <v>99</v>
      </c>
      <c r="E84" s="10" t="s">
        <v>89</v>
      </c>
      <c r="F84" s="9" t="n">
        <f aca="false">IF(OR(D84="",E84=""),1,MAX(1,DATEVALUE(E84)-DATEVALUE(D84)))</f>
        <v>3</v>
      </c>
      <c r="G84" s="11"/>
      <c r="H84" s="11" t="n">
        <v>17140</v>
      </c>
      <c r="I84" s="11"/>
      <c r="J84" s="11"/>
      <c r="K84" s="11"/>
      <c r="L84" s="12"/>
      <c r="M84" s="13"/>
      <c r="N84" s="14" t="str">
        <f aca="false">IF(G84="","",G84/F84)</f>
        <v/>
      </c>
      <c r="O84" s="14" t="n">
        <f aca="false">IF(COUNT(H84:K84)=0,"",MIN(H84:K84)/F84)</f>
        <v>5713.33333333333</v>
      </c>
      <c r="P84" s="14" t="str">
        <f aca="false">IF(L84="","",L84*95/F84)</f>
        <v/>
      </c>
      <c r="Q84" s="15" t="str">
        <f aca="false">IF(OR(N84="",O84=""),"",(IF(AND(N84&gt;7500,O84&gt;7500),O84/(1+IF(O84&lt;=1000,0,IF(O84&lt;=7500,0.05,0.18)))-IF(AND(N84&gt;7500,O84&gt;7500),N84/1.18,N84),(O84-IF(AND(N84&gt;7500,O84&gt;7500),N84/1.18,N84))/(1+IF(O84&lt;=1000,0,IF(O84&lt;=7500,0.05,0.18)))))/(IF(AND(N84&gt;7500,O84&gt;7500),N84/1.18,N84)))</f>
        <v/>
      </c>
      <c r="R84" s="15" t="str">
        <f aca="false">IF(OR(N84="",O84=""),"",((O84-N84)/1.18)/N84)</f>
        <v/>
      </c>
      <c r="S84" s="15" t="str">
        <f aca="false">IF(OR(P84="",O84=""),"",(P84-O84)/O84)</f>
        <v/>
      </c>
      <c r="T84" s="9" t="str">
        <f aca="false">IF(AND(D84="",G84&lt;&gt;""),"no dates - assumed 1 night",IF(Q84="","",IF(Q84&gt;1.5,"check: markup &gt;150%",IF(Q84&lt;0,"below cost",""))))</f>
        <v/>
      </c>
    </row>
    <row r="85" customFormat="false" ht="15" hidden="false" customHeight="false" outlineLevel="0" collapsed="false">
      <c r="A85" s="9" t="s">
        <v>11</v>
      </c>
      <c r="B85" s="9" t="s">
        <v>153</v>
      </c>
      <c r="C85" s="9" t="s">
        <v>41</v>
      </c>
      <c r="D85" s="10" t="s">
        <v>99</v>
      </c>
      <c r="E85" s="10" t="s">
        <v>89</v>
      </c>
      <c r="F85" s="9" t="n">
        <f aca="false">IF(OR(D85="",E85=""),1,MAX(1,DATEVALUE(E85)-DATEVALUE(D85)))</f>
        <v>3</v>
      </c>
      <c r="G85" s="11" t="n">
        <v>13465</v>
      </c>
      <c r="H85" s="11" t="n">
        <v>15816</v>
      </c>
      <c r="I85" s="11"/>
      <c r="J85" s="11"/>
      <c r="K85" s="11"/>
      <c r="L85" s="12"/>
      <c r="M85" s="13"/>
      <c r="N85" s="14" t="n">
        <f aca="false">IF(G85="","",G85/F85)</f>
        <v>4488.33333333333</v>
      </c>
      <c r="O85" s="14" t="n">
        <f aca="false">IF(COUNT(H85:K85)=0,"",MIN(H85:K85)/F85)</f>
        <v>5272</v>
      </c>
      <c r="P85" s="14" t="str">
        <f aca="false">IF(L85="","",L85*95/F85)</f>
        <v/>
      </c>
      <c r="Q85" s="15" t="n">
        <f aca="false">IF(OR(N85="",O85=""),"",(IF(AND(N85&gt;7500,O85&gt;7500),O85/(1+IF(O85&lt;=1000,0,IF(O85&lt;=7500,0.05,0.18)))-IF(AND(N85&gt;7500,O85&gt;7500),N85/1.18,N85),(O85-IF(AND(N85&gt;7500,O85&gt;7500),N85/1.18,N85))/(1+IF(O85&lt;=1000,0,IF(O85&lt;=7500,0.05,0.18)))))/(IF(AND(N85&gt;7500,O85&gt;7500),N85/1.18,N85)))</f>
        <v>0.166286492316942</v>
      </c>
      <c r="R85" s="15" t="n">
        <f aca="false">IF(OR(N85="",O85=""),"",((O85-N85)/1.18)/N85)</f>
        <v>0.147966794010838</v>
      </c>
      <c r="S85" s="15" t="str">
        <f aca="false">IF(OR(P85="",O85=""),"",(P85-O85)/O85)</f>
        <v/>
      </c>
      <c r="T85" s="9" t="str">
        <f aca="false">IF(AND(D85="",G85&lt;&gt;""),"no dates - assumed 1 night",IF(Q85="","",IF(Q85&gt;1.5,"check: markup &gt;150%",IF(Q85&lt;0,"below cost",""))))</f>
        <v/>
      </c>
    </row>
    <row r="86" customFormat="false" ht="15" hidden="false" customHeight="false" outlineLevel="0" collapsed="false">
      <c r="A86" s="9" t="s">
        <v>11</v>
      </c>
      <c r="B86" s="9" t="s">
        <v>153</v>
      </c>
      <c r="C86" s="9" t="s">
        <v>44</v>
      </c>
      <c r="D86" s="10" t="s">
        <v>103</v>
      </c>
      <c r="E86" s="10" t="s">
        <v>104</v>
      </c>
      <c r="F86" s="9" t="n">
        <f aca="false">IF(OR(D86="",E86=""),1,MAX(1,DATEVALUE(E86)-DATEVALUE(D86)))</f>
        <v>3</v>
      </c>
      <c r="G86" s="11" t="n">
        <v>16386</v>
      </c>
      <c r="H86" s="11" t="n">
        <v>23330</v>
      </c>
      <c r="I86" s="11"/>
      <c r="J86" s="11"/>
      <c r="K86" s="11"/>
      <c r="L86" s="12"/>
      <c r="M86" s="13"/>
      <c r="N86" s="14" t="n">
        <f aca="false">IF(G86="","",G86/F86)</f>
        <v>5462</v>
      </c>
      <c r="O86" s="14" t="n">
        <f aca="false">IF(COUNT(H86:K86)=0,"",MIN(H86:K86)/F86)</f>
        <v>7776.66666666667</v>
      </c>
      <c r="P86" s="14" t="str">
        <f aca="false">IF(L86="","",L86*95/F86)</f>
        <v/>
      </c>
      <c r="Q86" s="15" t="n">
        <f aca="false">IF(OR(N86="",O86=""),"",(IF(AND(N86&gt;7500,O86&gt;7500),O86/(1+IF(O86&lt;=1000,0,IF(O86&lt;=7500,0.05,0.18)))-IF(AND(N86&gt;7500,O86&gt;7500),N86/1.18,N86),(O86-IF(AND(N86&gt;7500,O86&gt;7500),N86/1.18,N86))/(1+IF(O86&lt;=1000,0,IF(O86&lt;=7500,0.05,0.18)))))/(IF(AND(N86&gt;7500,O86&gt;7500),N86/1.18,N86)))</f>
        <v>0.359132537697538</v>
      </c>
      <c r="R86" s="15" t="n">
        <f aca="false">IF(OR(N86="",O86=""),"",((O86-N86)/1.18)/N86)</f>
        <v>0.359132537697538</v>
      </c>
      <c r="S86" s="15" t="str">
        <f aca="false">IF(OR(P86="",O86=""),"",(P86-O86)/O86)</f>
        <v/>
      </c>
      <c r="T86" s="9" t="str">
        <f aca="false">IF(AND(D86="",G86&lt;&gt;""),"no dates - assumed 1 night",IF(Q86="","",IF(Q86&gt;1.5,"check: markup &gt;150%",IF(Q86&lt;0,"below cost",""))))</f>
        <v/>
      </c>
    </row>
    <row r="87" customFormat="false" ht="15" hidden="false" customHeight="false" outlineLevel="0" collapsed="false">
      <c r="A87" s="9" t="s">
        <v>11</v>
      </c>
      <c r="B87" s="9" t="s">
        <v>153</v>
      </c>
      <c r="C87" s="9" t="s">
        <v>47</v>
      </c>
      <c r="D87" s="10" t="s">
        <v>127</v>
      </c>
      <c r="E87" s="10" t="s">
        <v>128</v>
      </c>
      <c r="F87" s="9" t="n">
        <f aca="false">IF(OR(D87="",E87=""),1,MAX(1,DATEVALUE(E87)-DATEVALUE(D87)))</f>
        <v>3</v>
      </c>
      <c r="G87" s="11" t="n">
        <v>16386</v>
      </c>
      <c r="H87" s="11" t="n">
        <v>26040</v>
      </c>
      <c r="I87" s="11"/>
      <c r="J87" s="11"/>
      <c r="K87" s="11"/>
      <c r="L87" s="12"/>
      <c r="M87" s="13"/>
      <c r="N87" s="14" t="n">
        <f aca="false">IF(G87="","",G87/F87)</f>
        <v>5462</v>
      </c>
      <c r="O87" s="14" t="n">
        <f aca="false">IF(COUNT(H87:K87)=0,"",MIN(H87:K87)/F87)</f>
        <v>8680</v>
      </c>
      <c r="P87" s="14" t="str">
        <f aca="false">IF(L87="","",L87*95/F87)</f>
        <v/>
      </c>
      <c r="Q87" s="15" t="n">
        <f aca="false">IF(OR(N87="",O87=""),"",(IF(AND(N87&gt;7500,O87&gt;7500),O87/(1+IF(O87&lt;=1000,0,IF(O87&lt;=7500,0.05,0.18)))-IF(AND(N87&gt;7500,O87&gt;7500),N87/1.18,N87),(O87-IF(AND(N87&gt;7500,O87&gt;7500),N87/1.18,N87))/(1+IF(O87&lt;=1000,0,IF(O87&lt;=7500,0.05,0.18)))))/(IF(AND(N87&gt;7500,O87&gt;7500),N87/1.18,N87)))</f>
        <v>0.499289389247125</v>
      </c>
      <c r="R87" s="15" t="n">
        <f aca="false">IF(OR(N87="",O87=""),"",((O87-N87)/1.18)/N87)</f>
        <v>0.499289389247125</v>
      </c>
      <c r="S87" s="15" t="str">
        <f aca="false">IF(OR(P87="",O87=""),"",(P87-O87)/O87)</f>
        <v/>
      </c>
      <c r="T87" s="9" t="str">
        <f aca="false">IF(AND(D87="",G87&lt;&gt;""),"no dates - assumed 1 night",IF(Q87="","",IF(Q87&gt;1.5,"check: markup &gt;150%",IF(Q87&lt;0,"below cost",""))))</f>
        <v/>
      </c>
    </row>
    <row r="88" customFormat="false" ht="15" hidden="false" customHeight="false" outlineLevel="0" collapsed="false">
      <c r="A88" s="9" t="s">
        <v>11</v>
      </c>
      <c r="B88" s="9" t="s">
        <v>153</v>
      </c>
      <c r="C88" s="9" t="s">
        <v>50</v>
      </c>
      <c r="D88" s="10" t="s">
        <v>48</v>
      </c>
      <c r="E88" s="10" t="s">
        <v>49</v>
      </c>
      <c r="F88" s="9" t="n">
        <f aca="false">IF(OR(D88="",E88=""),1,MAX(1,DATEVALUE(E88)-DATEVALUE(D88)))</f>
        <v>3</v>
      </c>
      <c r="G88" s="11" t="n">
        <v>29355</v>
      </c>
      <c r="H88" s="11" t="n">
        <v>38478</v>
      </c>
      <c r="I88" s="11"/>
      <c r="J88" s="11"/>
      <c r="K88" s="11"/>
      <c r="L88" s="12"/>
      <c r="M88" s="13"/>
      <c r="N88" s="14" t="n">
        <f aca="false">IF(G88="","",G88/F88)</f>
        <v>9785</v>
      </c>
      <c r="O88" s="14" t="n">
        <f aca="false">IF(COUNT(H88:K88)=0,"",MIN(H88:K88)/F88)</f>
        <v>12826</v>
      </c>
      <c r="P88" s="14" t="str">
        <f aca="false">IF(L88="","",L88*95/F88)</f>
        <v/>
      </c>
      <c r="Q88" s="15" t="n">
        <f aca="false">IF(OR(N88="",O88=""),"",(IF(AND(N88&gt;7500,O88&gt;7500),O88/(1+IF(O88&lt;=1000,0,IF(O88&lt;=7500,0.05,0.18)))-IF(AND(N88&gt;7500,O88&gt;7500),N88/1.18,N88),(O88-IF(AND(N88&gt;7500,O88&gt;7500),N88/1.18,N88))/(1+IF(O88&lt;=1000,0,IF(O88&lt;=7500,0.05,0.18)))))/(IF(AND(N88&gt;7500,O88&gt;7500),N88/1.18,N88)))</f>
        <v>0.31078180889116</v>
      </c>
      <c r="R88" s="15" t="n">
        <f aca="false">IF(OR(N88="",O88=""),"",((O88-N88)/1.18)/N88)</f>
        <v>0.263374414314542</v>
      </c>
      <c r="S88" s="15" t="str">
        <f aca="false">IF(OR(P88="",O88=""),"",(P88-O88)/O88)</f>
        <v/>
      </c>
      <c r="T88" s="9" t="str">
        <f aca="false">IF(AND(D88="",G88&lt;&gt;""),"no dates - assumed 1 night",IF(Q88="","",IF(Q88&gt;1.5,"check: markup &gt;150%",IF(Q88&lt;0,"below cost",""))))</f>
        <v/>
      </c>
    </row>
    <row r="89" customFormat="false" ht="15" hidden="false" customHeight="false" outlineLevel="0" collapsed="false">
      <c r="A89" s="9" t="s">
        <v>11</v>
      </c>
      <c r="B89" s="9" t="s">
        <v>153</v>
      </c>
      <c r="C89" s="9" t="s">
        <v>54</v>
      </c>
      <c r="D89" s="10" t="s">
        <v>129</v>
      </c>
      <c r="E89" s="10" t="s">
        <v>130</v>
      </c>
      <c r="F89" s="9" t="n">
        <f aca="false">IF(OR(D89="",E89=""),1,MAX(1,DATEVALUE(E89)-DATEVALUE(D89)))</f>
        <v>3</v>
      </c>
      <c r="G89" s="11" t="n">
        <v>39591</v>
      </c>
      <c r="H89" s="11" t="n">
        <v>46267</v>
      </c>
      <c r="I89" s="11"/>
      <c r="J89" s="11"/>
      <c r="K89" s="11"/>
      <c r="L89" s="12"/>
      <c r="M89" s="13"/>
      <c r="N89" s="14" t="n">
        <f aca="false">IF(G89="","",G89/F89)</f>
        <v>13197</v>
      </c>
      <c r="O89" s="14" t="n">
        <f aca="false">IF(COUNT(H89:K89)=0,"",MIN(H89:K89)/F89)</f>
        <v>15422.3333333333</v>
      </c>
      <c r="P89" s="14" t="str">
        <f aca="false">IF(L89="","",L89*95/F89)</f>
        <v/>
      </c>
      <c r="Q89" s="15" t="n">
        <f aca="false">IF(OR(N89="",O89=""),"",(IF(AND(N89&gt;7500,O89&gt;7500),O89/(1+IF(O89&lt;=1000,0,IF(O89&lt;=7500,0.05,0.18)))-IF(AND(N89&gt;7500,O89&gt;7500),N89/1.18,N89),(O89-IF(AND(N89&gt;7500,O89&gt;7500),N89/1.18,N89))/(1+IF(O89&lt;=1000,0,IF(O89&lt;=7500,0.05,0.18)))))/(IF(AND(N89&gt;7500,O89&gt;7500),N89/1.18,N89)))</f>
        <v>0.168624182263646</v>
      </c>
      <c r="R89" s="15" t="n">
        <f aca="false">IF(OR(N89="",O89=""),"",((O89-N89)/1.18)/N89)</f>
        <v>0.142901849375971</v>
      </c>
      <c r="S89" s="15" t="str">
        <f aca="false">IF(OR(P89="",O89=""),"",(P89-O89)/O89)</f>
        <v/>
      </c>
      <c r="T89" s="9" t="str">
        <f aca="false">IF(AND(D89="",G89&lt;&gt;""),"no dates - assumed 1 night",IF(Q89="","",IF(Q89&gt;1.5,"check: markup &gt;150%",IF(Q89&lt;0,"below cost",""))))</f>
        <v/>
      </c>
    </row>
    <row r="90" customFormat="false" ht="15" hidden="false" customHeight="false" outlineLevel="0" collapsed="false">
      <c r="A90" s="9" t="s">
        <v>11</v>
      </c>
      <c r="B90" s="9" t="s">
        <v>154</v>
      </c>
      <c r="C90" s="9" t="s">
        <v>41</v>
      </c>
      <c r="D90" s="10" t="s">
        <v>99</v>
      </c>
      <c r="E90" s="10" t="s">
        <v>89</v>
      </c>
      <c r="F90" s="9" t="n">
        <f aca="false">IF(OR(D90="",E90=""),1,MAX(1,DATEVALUE(E90)-DATEVALUE(D90)))</f>
        <v>3</v>
      </c>
      <c r="G90" s="11" t="n">
        <v>23136</v>
      </c>
      <c r="H90" s="11" t="n">
        <v>29938</v>
      </c>
      <c r="I90" s="11"/>
      <c r="J90" s="11"/>
      <c r="K90" s="11"/>
      <c r="L90" s="12"/>
      <c r="M90" s="13"/>
      <c r="N90" s="14" t="n">
        <f aca="false">IF(G90="","",G90/F90)</f>
        <v>7712</v>
      </c>
      <c r="O90" s="14" t="n">
        <f aca="false">IF(COUNT(H90:K90)=0,"",MIN(H90:K90)/F90)</f>
        <v>9979.33333333333</v>
      </c>
      <c r="P90" s="14" t="str">
        <f aca="false">IF(L90="","",L90*95/F90)</f>
        <v/>
      </c>
      <c r="Q90" s="15" t="n">
        <f aca="false">IF(OR(N90="",O90=""),"",(IF(AND(N90&gt;7500,O90&gt;7500),O90/(1+IF(O90&lt;=1000,0,IF(O90&lt;=7500,0.05,0.18)))-IF(AND(N90&gt;7500,O90&gt;7500),N90/1.18,N90),(O90-IF(AND(N90&gt;7500,O90&gt;7500),N90/1.18,N90))/(1+IF(O90&lt;=1000,0,IF(O90&lt;=7500,0.05,0.18)))))/(IF(AND(N90&gt;7500,O90&gt;7500),N90/1.18,N90)))</f>
        <v>0.294000691562932</v>
      </c>
      <c r="R90" s="15" t="n">
        <f aca="false">IF(OR(N90="",O90=""),"",((O90-N90)/1.18)/N90)</f>
        <v>0.249153128443163</v>
      </c>
      <c r="S90" s="15" t="str">
        <f aca="false">IF(OR(P90="",O90=""),"",(P90-O90)/O90)</f>
        <v/>
      </c>
      <c r="T90" s="9" t="str">
        <f aca="false">IF(AND(D90="",G90&lt;&gt;""),"no dates - assumed 1 night",IF(Q90="","",IF(Q90&gt;1.5,"check: markup &gt;150%",IF(Q90&lt;0,"below cost",""))))</f>
        <v/>
      </c>
    </row>
    <row r="91" customFormat="false" ht="15" hidden="false" customHeight="false" outlineLevel="0" collapsed="false">
      <c r="A91" s="9" t="s">
        <v>11</v>
      </c>
      <c r="B91" s="9" t="s">
        <v>154</v>
      </c>
      <c r="C91" s="9" t="s">
        <v>44</v>
      </c>
      <c r="D91" s="10" t="s">
        <v>103</v>
      </c>
      <c r="E91" s="10" t="s">
        <v>104</v>
      </c>
      <c r="F91" s="9" t="n">
        <f aca="false">IF(OR(D91="",E91=""),1,MAX(1,DATEVALUE(E91)-DATEVALUE(D91)))</f>
        <v>3</v>
      </c>
      <c r="G91" s="11" t="n">
        <v>23036</v>
      </c>
      <c r="H91" s="11" t="n">
        <v>29938</v>
      </c>
      <c r="I91" s="11"/>
      <c r="J91" s="11"/>
      <c r="K91" s="11"/>
      <c r="L91" s="12"/>
      <c r="M91" s="13"/>
      <c r="N91" s="14" t="n">
        <f aca="false">IF(G91="","",G91/F91)</f>
        <v>7678.66666666667</v>
      </c>
      <c r="O91" s="14" t="n">
        <f aca="false">IF(COUNT(H91:K91)=0,"",MIN(H91:K91)/F91)</f>
        <v>9979.33333333333</v>
      </c>
      <c r="P91" s="14" t="str">
        <f aca="false">IF(L91="","",L91*95/F91)</f>
        <v/>
      </c>
      <c r="Q91" s="15" t="n">
        <f aca="false">IF(OR(N91="",O91=""),"",(IF(AND(N91&gt;7500,O91&gt;7500),O91/(1+IF(O91&lt;=1000,0,IF(O91&lt;=7500,0.05,0.18)))-IF(AND(N91&gt;7500,O91&gt;7500),N91/1.18,N91),(O91-IF(AND(N91&gt;7500,O91&gt;7500),N91/1.18,N91))/(1+IF(O91&lt;=1000,0,IF(O91&lt;=7500,0.05,0.18)))))/(IF(AND(N91&gt;7500,O91&gt;7500),N91/1.18,N91)))</f>
        <v>0.299617989234242</v>
      </c>
      <c r="R91" s="15" t="n">
        <f aca="false">IF(OR(N91="",O91=""),"",((O91-N91)/1.18)/N91)</f>
        <v>0.25391355019851</v>
      </c>
      <c r="S91" s="15" t="str">
        <f aca="false">IF(OR(P91="",O91=""),"",(P91-O91)/O91)</f>
        <v/>
      </c>
      <c r="T91" s="9" t="str">
        <f aca="false">IF(AND(D91="",G91&lt;&gt;""),"no dates - assumed 1 night",IF(Q91="","",IF(Q91&gt;1.5,"check: markup &gt;150%",IF(Q91&lt;0,"below cost",""))))</f>
        <v/>
      </c>
    </row>
    <row r="92" customFormat="false" ht="15" hidden="false" customHeight="false" outlineLevel="0" collapsed="false">
      <c r="A92" s="9" t="s">
        <v>11</v>
      </c>
      <c r="B92" s="9" t="s">
        <v>154</v>
      </c>
      <c r="C92" s="9" t="s">
        <v>47</v>
      </c>
      <c r="D92" s="10" t="s">
        <v>127</v>
      </c>
      <c r="E92" s="10" t="s">
        <v>128</v>
      </c>
      <c r="F92" s="9" t="n">
        <f aca="false">IF(OR(D92="",E92=""),1,MAX(1,DATEVALUE(E92)-DATEVALUE(D92)))</f>
        <v>3</v>
      </c>
      <c r="G92" s="11" t="n">
        <v>23104</v>
      </c>
      <c r="H92" s="11" t="n">
        <v>29938</v>
      </c>
      <c r="I92" s="11"/>
      <c r="J92" s="11"/>
      <c r="K92" s="11"/>
      <c r="L92" s="12"/>
      <c r="M92" s="13"/>
      <c r="N92" s="14" t="n">
        <f aca="false">IF(G92="","",G92/F92)</f>
        <v>7701.33333333333</v>
      </c>
      <c r="O92" s="14" t="n">
        <f aca="false">IF(COUNT(H92:K92)=0,"",MIN(H92:K92)/F92)</f>
        <v>9979.33333333333</v>
      </c>
      <c r="P92" s="14" t="str">
        <f aca="false">IF(L92="","",L92*95/F92)</f>
        <v/>
      </c>
      <c r="Q92" s="15" t="n">
        <f aca="false">IF(OR(N92="",O92=""),"",(IF(AND(N92&gt;7500,O92&gt;7500),O92/(1+IF(O92&lt;=1000,0,IF(O92&lt;=7500,0.05,0.18)))-IF(AND(N92&gt;7500,O92&gt;7500),N92/1.18,N92),(O92-IF(AND(N92&gt;7500,O92&gt;7500),N92/1.18,N92))/(1+IF(O92&lt;=1000,0,IF(O92&lt;=7500,0.05,0.18)))))/(IF(AND(N92&gt;7500,O92&gt;7500),N92/1.18,N92)))</f>
        <v>0.295792936288089</v>
      </c>
      <c r="R92" s="15" t="n">
        <f aca="false">IF(OR(N92="",O92=""),"",((O92-N92)/1.18)/N92)</f>
        <v>0.25067197990516</v>
      </c>
      <c r="S92" s="15" t="str">
        <f aca="false">IF(OR(P92="",O92=""),"",(P92-O92)/O92)</f>
        <v/>
      </c>
      <c r="T92" s="9" t="str">
        <f aca="false">IF(AND(D92="",G92&lt;&gt;""),"no dates - assumed 1 night",IF(Q92="","",IF(Q92&gt;1.5,"check: markup &gt;150%",IF(Q92&lt;0,"below cost",""))))</f>
        <v/>
      </c>
    </row>
    <row r="93" customFormat="false" ht="15" hidden="false" customHeight="false" outlineLevel="0" collapsed="false">
      <c r="A93" s="9" t="s">
        <v>11</v>
      </c>
      <c r="B93" s="9" t="s">
        <v>154</v>
      </c>
      <c r="C93" s="9" t="s">
        <v>50</v>
      </c>
      <c r="D93" s="10" t="s">
        <v>48</v>
      </c>
      <c r="E93" s="10" t="s">
        <v>49</v>
      </c>
      <c r="F93" s="9" t="n">
        <f aca="false">IF(OR(D93="",E93=""),1,MAX(1,DATEVALUE(E93)-DATEVALUE(D93)))</f>
        <v>3</v>
      </c>
      <c r="G93" s="11" t="n">
        <v>25206</v>
      </c>
      <c r="H93" s="11" t="n">
        <v>32878</v>
      </c>
      <c r="I93" s="11"/>
      <c r="J93" s="11"/>
      <c r="K93" s="11"/>
      <c r="L93" s="12"/>
      <c r="M93" s="13"/>
      <c r="N93" s="14" t="n">
        <f aca="false">IF(G93="","",G93/F93)</f>
        <v>8402</v>
      </c>
      <c r="O93" s="14" t="n">
        <f aca="false">IF(COUNT(H93:K93)=0,"",MIN(H93:K93)/F93)</f>
        <v>10959.3333333333</v>
      </c>
      <c r="P93" s="14" t="str">
        <f aca="false">IF(L93="","",L93*95/F93)</f>
        <v/>
      </c>
      <c r="Q93" s="15" t="n">
        <f aca="false">IF(OR(N93="",O93=""),"",(IF(AND(N93&gt;7500,O93&gt;7500),O93/(1+IF(O93&lt;=1000,0,IF(O93&lt;=7500,0.05,0.18)))-IF(AND(N93&gt;7500,O93&gt;7500),N93/1.18,N93),(O93-IF(AND(N93&gt;7500,O93&gt;7500),N93/1.18,N93))/(1+IF(O93&lt;=1000,0,IF(O93&lt;=7500,0.05,0.18)))))/(IF(AND(N93&gt;7500,O93&gt;7500),N93/1.18,N93)))</f>
        <v>0.304371974926605</v>
      </c>
      <c r="R93" s="15" t="n">
        <f aca="false">IF(OR(N93="",O93=""),"",((O93-N93)/1.18)/N93)</f>
        <v>0.257942351632716</v>
      </c>
      <c r="S93" s="15" t="str">
        <f aca="false">IF(OR(P93="",O93=""),"",(P93-O93)/O93)</f>
        <v/>
      </c>
      <c r="T93" s="9" t="str">
        <f aca="false">IF(AND(D93="",G93&lt;&gt;""),"no dates - assumed 1 night",IF(Q93="","",IF(Q93&gt;1.5,"check: markup &gt;150%",IF(Q93&lt;0,"below cost",""))))</f>
        <v/>
      </c>
    </row>
    <row r="94" customFormat="false" ht="15" hidden="false" customHeight="false" outlineLevel="0" collapsed="false">
      <c r="A94" s="9" t="s">
        <v>11</v>
      </c>
      <c r="B94" s="9" t="s">
        <v>154</v>
      </c>
      <c r="C94" s="9" t="s">
        <v>54</v>
      </c>
      <c r="D94" s="10" t="s">
        <v>129</v>
      </c>
      <c r="E94" s="10" t="s">
        <v>130</v>
      </c>
      <c r="F94" s="9" t="n">
        <f aca="false">IF(OR(D94="",E94=""),1,MAX(1,DATEVALUE(E94)-DATEVALUE(D94)))</f>
        <v>3</v>
      </c>
      <c r="G94" s="11" t="n">
        <v>70273</v>
      </c>
      <c r="H94" s="11" t="n">
        <v>84378</v>
      </c>
      <c r="I94" s="11"/>
      <c r="J94" s="11"/>
      <c r="K94" s="11"/>
      <c r="L94" s="12"/>
      <c r="M94" s="13"/>
      <c r="N94" s="14" t="n">
        <f aca="false">IF(G94="","",G94/F94)</f>
        <v>23424.3333333333</v>
      </c>
      <c r="O94" s="14" t="n">
        <f aca="false">IF(COUNT(H94:K94)=0,"",MIN(H94:K94)/F94)</f>
        <v>28126</v>
      </c>
      <c r="P94" s="14" t="str">
        <f aca="false">IF(L94="","",L94*95/F94)</f>
        <v/>
      </c>
      <c r="Q94" s="15" t="n">
        <f aca="false">IF(OR(N94="",O94=""),"",(IF(AND(N94&gt;7500,O94&gt;7500),O94/(1+IF(O94&lt;=1000,0,IF(O94&lt;=7500,0.05,0.18)))-IF(AND(N94&gt;7500,O94&gt;7500),N94/1.18,N94),(O94-IF(AND(N94&gt;7500,O94&gt;7500),N94/1.18,N94))/(1+IF(O94&lt;=1000,0,IF(O94&lt;=7500,0.05,0.18)))))/(IF(AND(N94&gt;7500,O94&gt;7500),N94/1.18,N94)))</f>
        <v>0.200717202908656</v>
      </c>
      <c r="R94" s="15" t="n">
        <f aca="false">IF(OR(N94="",O94=""),"",((O94-N94)/1.18)/N94)</f>
        <v>0.170099324498861</v>
      </c>
      <c r="S94" s="15" t="str">
        <f aca="false">IF(OR(P94="",O94=""),"",(P94-O94)/O94)</f>
        <v/>
      </c>
      <c r="T94" s="9" t="str">
        <f aca="false">IF(AND(D94="",G94&lt;&gt;""),"no dates - assumed 1 night",IF(Q94="","",IF(Q94&gt;1.5,"check: markup &gt;150%",IF(Q94&lt;0,"below cost",""))))</f>
        <v/>
      </c>
    </row>
    <row r="95" customFormat="false" ht="15" hidden="false" customHeight="false" outlineLevel="0" collapsed="false">
      <c r="A95" s="9" t="s">
        <v>11</v>
      </c>
      <c r="B95" s="9" t="s">
        <v>155</v>
      </c>
      <c r="C95" s="9" t="s">
        <v>41</v>
      </c>
      <c r="D95" s="10" t="s">
        <v>99</v>
      </c>
      <c r="E95" s="10" t="s">
        <v>89</v>
      </c>
      <c r="F95" s="9" t="n">
        <f aca="false">IF(OR(D95="",E95=""),1,MAX(1,DATEVALUE(E95)-DATEVALUE(D95)))</f>
        <v>3</v>
      </c>
      <c r="G95" s="11"/>
      <c r="H95" s="11" t="n">
        <v>69502</v>
      </c>
      <c r="I95" s="11"/>
      <c r="J95" s="11"/>
      <c r="K95" s="11"/>
      <c r="L95" s="12"/>
      <c r="M95" s="13"/>
      <c r="N95" s="14" t="str">
        <f aca="false">IF(G95="","",G95/F95)</f>
        <v/>
      </c>
      <c r="O95" s="14" t="n">
        <f aca="false">IF(COUNT(H95:K95)=0,"",MIN(H95:K95)/F95)</f>
        <v>23167.3333333333</v>
      </c>
      <c r="P95" s="14" t="str">
        <f aca="false">IF(L95="","",L95*95/F95)</f>
        <v/>
      </c>
      <c r="Q95" s="15" t="str">
        <f aca="false">IF(OR(N95="",O95=""),"",(IF(AND(N95&gt;7500,O95&gt;7500),O95/(1+IF(O95&lt;=1000,0,IF(O95&lt;=7500,0.05,0.18)))-IF(AND(N95&gt;7500,O95&gt;7500),N95/1.18,N95),(O95-IF(AND(N95&gt;7500,O95&gt;7500),N95/1.18,N95))/(1+IF(O95&lt;=1000,0,IF(O95&lt;=7500,0.05,0.18)))))/(IF(AND(N95&gt;7500,O95&gt;7500),N95/1.18,N95)))</f>
        <v/>
      </c>
      <c r="R95" s="15" t="str">
        <f aca="false">IF(OR(N95="",O95=""),"",((O95-N95)/1.18)/N95)</f>
        <v/>
      </c>
      <c r="S95" s="15" t="str">
        <f aca="false">IF(OR(P95="",O95=""),"",(P95-O95)/O95)</f>
        <v/>
      </c>
      <c r="T95" s="9" t="str">
        <f aca="false">IF(AND(D95="",G95&lt;&gt;""),"no dates - assumed 1 night",IF(Q95="","",IF(Q95&gt;1.5,"check: markup &gt;150%",IF(Q95&lt;0,"below cost",""))))</f>
        <v/>
      </c>
    </row>
    <row r="96" customFormat="false" ht="15" hidden="false" customHeight="false" outlineLevel="0" collapsed="false">
      <c r="A96" s="9" t="s">
        <v>11</v>
      </c>
      <c r="B96" s="9" t="s">
        <v>155</v>
      </c>
      <c r="C96" s="9" t="s">
        <v>44</v>
      </c>
      <c r="D96" s="10" t="s">
        <v>103</v>
      </c>
      <c r="E96" s="10" t="s">
        <v>104</v>
      </c>
      <c r="F96" s="9" t="n">
        <f aca="false">IF(OR(D96="",E96=""),1,MAX(1,DATEVALUE(E96)-DATEVALUE(D96)))</f>
        <v>3</v>
      </c>
      <c r="G96" s="11"/>
      <c r="H96" s="11" t="n">
        <v>76228</v>
      </c>
      <c r="I96" s="11"/>
      <c r="J96" s="11"/>
      <c r="K96" s="11"/>
      <c r="L96" s="12"/>
      <c r="M96" s="13"/>
      <c r="N96" s="14" t="str">
        <f aca="false">IF(G96="","",G96/F96)</f>
        <v/>
      </c>
      <c r="O96" s="14" t="n">
        <f aca="false">IF(COUNT(H96:K96)=0,"",MIN(H96:K96)/F96)</f>
        <v>25409.3333333333</v>
      </c>
      <c r="P96" s="14" t="str">
        <f aca="false">IF(L96="","",L96*95/F96)</f>
        <v/>
      </c>
      <c r="Q96" s="15" t="str">
        <f aca="false">IF(OR(N96="",O96=""),"",(IF(AND(N96&gt;7500,O96&gt;7500),O96/(1+IF(O96&lt;=1000,0,IF(O96&lt;=7500,0.05,0.18)))-IF(AND(N96&gt;7500,O96&gt;7500),N96/1.18,N96),(O96-IF(AND(N96&gt;7500,O96&gt;7500),N96/1.18,N96))/(1+IF(O96&lt;=1000,0,IF(O96&lt;=7500,0.05,0.18)))))/(IF(AND(N96&gt;7500,O96&gt;7500),N96/1.18,N96)))</f>
        <v/>
      </c>
      <c r="R96" s="15" t="str">
        <f aca="false">IF(OR(N96="",O96=""),"",((O96-N96)/1.18)/N96)</f>
        <v/>
      </c>
      <c r="S96" s="15" t="str">
        <f aca="false">IF(OR(P96="",O96=""),"",(P96-O96)/O96)</f>
        <v/>
      </c>
      <c r="T96" s="9" t="str">
        <f aca="false">IF(AND(D96="",G96&lt;&gt;""),"no dates - assumed 1 night",IF(Q96="","",IF(Q96&gt;1.5,"check: markup &gt;150%",IF(Q96&lt;0,"below cost",""))))</f>
        <v/>
      </c>
    </row>
    <row r="97" customFormat="false" ht="15" hidden="false" customHeight="false" outlineLevel="0" collapsed="false">
      <c r="A97" s="9" t="s">
        <v>11</v>
      </c>
      <c r="B97" s="9" t="s">
        <v>155</v>
      </c>
      <c r="C97" s="9" t="s">
        <v>47</v>
      </c>
      <c r="D97" s="10" t="s">
        <v>127</v>
      </c>
      <c r="E97" s="10" t="s">
        <v>128</v>
      </c>
      <c r="F97" s="9" t="n">
        <f aca="false">IF(OR(D97="",E97=""),1,MAX(1,DATEVALUE(E97)-DATEVALUE(D97)))</f>
        <v>3</v>
      </c>
      <c r="G97" s="11"/>
      <c r="H97" s="11" t="n">
        <v>85196</v>
      </c>
      <c r="I97" s="11"/>
      <c r="J97" s="11"/>
      <c r="K97" s="11"/>
      <c r="L97" s="12"/>
      <c r="M97" s="13"/>
      <c r="N97" s="14" t="str">
        <f aca="false">IF(G97="","",G97/F97)</f>
        <v/>
      </c>
      <c r="O97" s="14" t="n">
        <f aca="false">IF(COUNT(H97:K97)=0,"",MIN(H97:K97)/F97)</f>
        <v>28398.6666666667</v>
      </c>
      <c r="P97" s="14" t="str">
        <f aca="false">IF(L97="","",L97*95/F97)</f>
        <v/>
      </c>
      <c r="Q97" s="15" t="str">
        <f aca="false">IF(OR(N97="",O97=""),"",(IF(AND(N97&gt;7500,O97&gt;7500),O97/(1+IF(O97&lt;=1000,0,IF(O97&lt;=7500,0.05,0.18)))-IF(AND(N97&gt;7500,O97&gt;7500),N97/1.18,N97),(O97-IF(AND(N97&gt;7500,O97&gt;7500),N97/1.18,N97))/(1+IF(O97&lt;=1000,0,IF(O97&lt;=7500,0.05,0.18)))))/(IF(AND(N97&gt;7500,O97&gt;7500),N97/1.18,N97)))</f>
        <v/>
      </c>
      <c r="R97" s="15" t="str">
        <f aca="false">IF(OR(N97="",O97=""),"",((O97-N97)/1.18)/N97)</f>
        <v/>
      </c>
      <c r="S97" s="15" t="str">
        <f aca="false">IF(OR(P97="",O97=""),"",(P97-O97)/O97)</f>
        <v/>
      </c>
      <c r="T97" s="9" t="str">
        <f aca="false">IF(AND(D97="",G97&lt;&gt;""),"no dates - assumed 1 night",IF(Q97="","",IF(Q97&gt;1.5,"check: markup &gt;150%",IF(Q97&lt;0,"below cost",""))))</f>
        <v/>
      </c>
    </row>
    <row r="98" customFormat="false" ht="15" hidden="false" customHeight="false" outlineLevel="0" collapsed="false">
      <c r="A98" s="9" t="s">
        <v>11</v>
      </c>
      <c r="B98" s="9" t="s">
        <v>155</v>
      </c>
      <c r="C98" s="9" t="s">
        <v>50</v>
      </c>
      <c r="D98" s="10" t="s">
        <v>48</v>
      </c>
      <c r="E98" s="10" t="s">
        <v>49</v>
      </c>
      <c r="F98" s="9" t="n">
        <f aca="false">IF(OR(D98="",E98=""),1,MAX(1,DATEVALUE(E98)-DATEVALUE(D98)))</f>
        <v>3</v>
      </c>
      <c r="G98" s="11"/>
      <c r="H98" s="11" t="n">
        <v>89680</v>
      </c>
      <c r="I98" s="11"/>
      <c r="J98" s="11"/>
      <c r="K98" s="11"/>
      <c r="L98" s="12"/>
      <c r="M98" s="13"/>
      <c r="N98" s="14" t="str">
        <f aca="false">IF(G98="","",G98/F98)</f>
        <v/>
      </c>
      <c r="O98" s="14" t="n">
        <f aca="false">IF(COUNT(H98:K98)=0,"",MIN(H98:K98)/F98)</f>
        <v>29893.3333333333</v>
      </c>
      <c r="P98" s="14" t="str">
        <f aca="false">IF(L98="","",L98*95/F98)</f>
        <v/>
      </c>
      <c r="Q98" s="15" t="str">
        <f aca="false">IF(OR(N98="",O98=""),"",(IF(AND(N98&gt;7500,O98&gt;7500),O98/(1+IF(O98&lt;=1000,0,IF(O98&lt;=7500,0.05,0.18)))-IF(AND(N98&gt;7500,O98&gt;7500),N98/1.18,N98),(O98-IF(AND(N98&gt;7500,O98&gt;7500),N98/1.18,N98))/(1+IF(O98&lt;=1000,0,IF(O98&lt;=7500,0.05,0.18)))))/(IF(AND(N98&gt;7500,O98&gt;7500),N98/1.18,N98)))</f>
        <v/>
      </c>
      <c r="R98" s="15" t="str">
        <f aca="false">IF(OR(N98="",O98=""),"",((O98-N98)/1.18)/N98)</f>
        <v/>
      </c>
      <c r="S98" s="15" t="str">
        <f aca="false">IF(OR(P98="",O98=""),"",(P98-O98)/O98)</f>
        <v/>
      </c>
      <c r="T98" s="9" t="str">
        <f aca="false">IF(AND(D98="",G98&lt;&gt;""),"no dates - assumed 1 night",IF(Q98="","",IF(Q98&gt;1.5,"check: markup &gt;150%",IF(Q98&lt;0,"below cost",""))))</f>
        <v/>
      </c>
    </row>
    <row r="100" customFormat="false" ht="15" hidden="false" customHeight="false" outlineLevel="0" collapsed="false">
      <c r="A100" s="2" t="s">
        <v>86</v>
      </c>
    </row>
  </sheetData>
  <autoFilter ref="A1:T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11" min="7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9" min="17" style="0" width="10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8" t="s">
        <v>2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2" customFormat="false" ht="15" hidden="false" customHeight="false" outlineLevel="0" collapsed="false">
      <c r="A2" s="9" t="s">
        <v>12</v>
      </c>
      <c r="B2" s="9" t="s">
        <v>156</v>
      </c>
      <c r="C2" s="9" t="s">
        <v>44</v>
      </c>
      <c r="D2" s="10" t="s">
        <v>103</v>
      </c>
      <c r="E2" s="10" t="s">
        <v>104</v>
      </c>
      <c r="F2" s="9" t="n">
        <f aca="false">IF(OR(D2="",E2=""),1,MAX(1,DATEVALUE(E2)-DATEVALUE(D2)))</f>
        <v>3</v>
      </c>
      <c r="G2" s="11" t="n">
        <v>16424</v>
      </c>
      <c r="H2" s="11" t="n">
        <v>16415</v>
      </c>
      <c r="I2" s="11"/>
      <c r="J2" s="11"/>
      <c r="K2" s="11"/>
      <c r="L2" s="12"/>
      <c r="M2" s="13"/>
      <c r="N2" s="14" t="n">
        <f aca="false">IF(G2="","",G2/F2)</f>
        <v>5474.66666666667</v>
      </c>
      <c r="O2" s="14" t="n">
        <f aca="false">IF(COUNT(H2:K2)=0,"",MIN(H2:K2)/F2)</f>
        <v>5471.66666666667</v>
      </c>
      <c r="P2" s="14" t="str">
        <f aca="false">IF(L2="","",L2*95/F2)</f>
        <v/>
      </c>
      <c r="Q2" s="15" t="n">
        <f aca="false">IF(OR(N2="",O2=""),"",(IF(AND(N2&gt;7500,O2&gt;7500),O2/(1+IF(O2&lt;=1000,0,IF(O2&lt;=7500,0.05,0.18)))-IF(AND(N2&gt;7500,O2&gt;7500),N2/1.18,N2),(O2-IF(AND(N2&gt;7500,O2&gt;7500),N2/1.18,N2))/(1+IF(O2&lt;=1000,0,IF(O2&lt;=7500,0.05,0.18)))))/(IF(AND(N2&gt;7500,O2&gt;7500),N2/1.18,N2)))</f>
        <v>-0.000521884350427945</v>
      </c>
      <c r="R2" s="15" t="n">
        <f aca="false">IF(OR(N2="",O2=""),"",((O2-N2)/1.18)/N2)</f>
        <v>-0.000464388616906222</v>
      </c>
      <c r="S2" s="15" t="str">
        <f aca="false">IF(OR(P2="",O2=""),"",(P2-O2)/O2)</f>
        <v/>
      </c>
      <c r="T2" s="9" t="str">
        <f aca="false">IF(AND(D2="",G2&lt;&gt;""),"no dates - assumed 1 night",IF(Q2="","",IF(Q2&gt;1.5,"check: markup &gt;150%",IF(Q2&lt;0,"below cost",""))))</f>
        <v>below cost</v>
      </c>
    </row>
    <row r="3" customFormat="false" ht="15" hidden="false" customHeight="false" outlineLevel="0" collapsed="false">
      <c r="A3" s="9" t="s">
        <v>12</v>
      </c>
      <c r="B3" s="9" t="s">
        <v>156</v>
      </c>
      <c r="C3" s="9" t="s">
        <v>47</v>
      </c>
      <c r="D3" s="10" t="s">
        <v>127</v>
      </c>
      <c r="E3" s="10" t="s">
        <v>128</v>
      </c>
      <c r="F3" s="9" t="n">
        <f aca="false">IF(OR(D3="",E3=""),1,MAX(1,DATEVALUE(E3)-DATEVALUE(D3)))</f>
        <v>3</v>
      </c>
      <c r="G3" s="11" t="n">
        <v>19649</v>
      </c>
      <c r="H3" s="11" t="n">
        <v>24815</v>
      </c>
      <c r="I3" s="11"/>
      <c r="J3" s="11"/>
      <c r="K3" s="11"/>
      <c r="L3" s="12"/>
      <c r="M3" s="13"/>
      <c r="N3" s="14" t="n">
        <f aca="false">IF(G3="","",G3/F3)</f>
        <v>6549.66666666667</v>
      </c>
      <c r="O3" s="14" t="n">
        <f aca="false">IF(COUNT(H3:K3)=0,"",MIN(H3:K3)/F3)</f>
        <v>8271.66666666667</v>
      </c>
      <c r="P3" s="14" t="str">
        <f aca="false">IF(L3="","",L3*95/F3)</f>
        <v/>
      </c>
      <c r="Q3" s="15" t="n">
        <f aca="false">IF(OR(N3="",O3=""),"",(IF(AND(N3&gt;7500,O3&gt;7500),O3/(1+IF(O3&lt;=1000,0,IF(O3&lt;=7500,0.05,0.18)))-IF(AND(N3&gt;7500,O3&gt;7500),N3/1.18,N3),(O3-IF(AND(N3&gt;7500,O3&gt;7500),N3/1.18,N3))/(1+IF(O3&lt;=1000,0,IF(O3&lt;=7500,0.05,0.18)))))/(IF(AND(N3&gt;7500,O3&gt;7500),N3/1.18,N3)))</f>
        <v>0.222808595943555</v>
      </c>
      <c r="R3" s="15" t="n">
        <f aca="false">IF(OR(N3="",O3=""),"",((O3-N3)/1.18)/N3)</f>
        <v>0.222808595943555</v>
      </c>
      <c r="S3" s="15" t="str">
        <f aca="false">IF(OR(P3="",O3=""),"",(P3-O3)/O3)</f>
        <v/>
      </c>
      <c r="T3" s="9" t="str">
        <f aca="false">IF(AND(D3="",G3&lt;&gt;""),"no dates - assumed 1 night",IF(Q3="","",IF(Q3&gt;1.5,"check: markup &gt;150%",IF(Q3&lt;0,"below cost",""))))</f>
        <v/>
      </c>
    </row>
    <row r="4" customFormat="false" ht="15" hidden="false" customHeight="false" outlineLevel="0" collapsed="false">
      <c r="A4" s="9" t="s">
        <v>12</v>
      </c>
      <c r="B4" s="9" t="s">
        <v>156</v>
      </c>
      <c r="C4" s="9" t="s">
        <v>50</v>
      </c>
      <c r="D4" s="10" t="s">
        <v>48</v>
      </c>
      <c r="E4" s="10" t="s">
        <v>49</v>
      </c>
      <c r="F4" s="9" t="n">
        <f aca="false">IF(OR(D4="",E4=""),1,MAX(1,DATEVALUE(E4)-DATEVALUE(D4)))</f>
        <v>3</v>
      </c>
      <c r="G4" s="11" t="n">
        <v>25161</v>
      </c>
      <c r="H4" s="11" t="n">
        <v>30136</v>
      </c>
      <c r="I4" s="11"/>
      <c r="J4" s="11"/>
      <c r="K4" s="11"/>
      <c r="L4" s="12"/>
      <c r="M4" s="13"/>
      <c r="N4" s="14" t="n">
        <f aca="false">IF(G4="","",G4/F4)</f>
        <v>8387</v>
      </c>
      <c r="O4" s="14" t="n">
        <f aca="false">IF(COUNT(H4:K4)=0,"",MIN(H4:K4)/F4)</f>
        <v>10045.3333333333</v>
      </c>
      <c r="P4" s="14" t="str">
        <f aca="false">IF(L4="","",L4*95/F4)</f>
        <v/>
      </c>
      <c r="Q4" s="15" t="n">
        <f aca="false">IF(OR(N4="",O4=""),"",(IF(AND(N4&gt;7500,O4&gt;7500),O4/(1+IF(O4&lt;=1000,0,IF(O4&lt;=7500,0.05,0.18)))-IF(AND(N4&gt;7500,O4&gt;7500),N4/1.18,N4),(O4-IF(AND(N4&gt;7500,O4&gt;7500),N4/1.18,N4))/(1+IF(O4&lt;=1000,0,IF(O4&lt;=7500,0.05,0.18)))))/(IF(AND(N4&gt;7500,O4&gt;7500),N4/1.18,N4)))</f>
        <v>0.197726640435595</v>
      </c>
      <c r="R4" s="15" t="n">
        <f aca="false">IF(OR(N4="",O4=""),"",((O4-N4)/1.18)/N4)</f>
        <v>0.167564949521691</v>
      </c>
      <c r="S4" s="15" t="str">
        <f aca="false">IF(OR(P4="",O4=""),"",(P4-O4)/O4)</f>
        <v/>
      </c>
      <c r="T4" s="9" t="str">
        <f aca="false">IF(AND(D4="",G4&lt;&gt;""),"no dates - assumed 1 night",IF(Q4="","",IF(Q4&gt;1.5,"check: markup &gt;150%",IF(Q4&lt;0,"below cost",""))))</f>
        <v/>
      </c>
    </row>
    <row r="5" customFormat="false" ht="15" hidden="false" customHeight="false" outlineLevel="0" collapsed="false">
      <c r="A5" s="9" t="s">
        <v>12</v>
      </c>
      <c r="B5" s="9" t="s">
        <v>156</v>
      </c>
      <c r="C5" s="9" t="s">
        <v>54</v>
      </c>
      <c r="D5" s="10" t="s">
        <v>51</v>
      </c>
      <c r="E5" s="10" t="s">
        <v>52</v>
      </c>
      <c r="F5" s="9" t="n">
        <f aca="false">IF(OR(D5="",E5=""),1,MAX(1,DATEVALUE(E5)-DATEVALUE(D5)))</f>
        <v>3</v>
      </c>
      <c r="G5" s="11" t="n">
        <v>27943</v>
      </c>
      <c r="H5" s="11" t="n">
        <v>34501</v>
      </c>
      <c r="I5" s="11"/>
      <c r="J5" s="11"/>
      <c r="K5" s="11"/>
      <c r="L5" s="12"/>
      <c r="M5" s="13"/>
      <c r="N5" s="14" t="n">
        <f aca="false">IF(G5="","",G5/F5)</f>
        <v>9314.33333333333</v>
      </c>
      <c r="O5" s="14" t="n">
        <f aca="false">IF(COUNT(H5:K5)=0,"",MIN(H5:K5)/F5)</f>
        <v>11500.3333333333</v>
      </c>
      <c r="P5" s="14" t="str">
        <f aca="false">IF(L5="","",L5*95/F5)</f>
        <v/>
      </c>
      <c r="Q5" s="15" t="n">
        <f aca="false">IF(OR(N5="",O5=""),"",(IF(AND(N5&gt;7500,O5&gt;7500),O5/(1+IF(O5&lt;=1000,0,IF(O5&lt;=7500,0.05,0.18)))-IF(AND(N5&gt;7500,O5&gt;7500),N5/1.18,N5),(O5-IF(AND(N5&gt;7500,O5&gt;7500),N5/1.18,N5))/(1+IF(O5&lt;=1000,0,IF(O5&lt;=7500,0.05,0.18)))))/(IF(AND(N5&gt;7500,O5&gt;7500),N5/1.18,N5)))</f>
        <v>0.234692051676627</v>
      </c>
      <c r="R5" s="15" t="n">
        <f aca="false">IF(OR(N5="",O5=""),"",((O5-N5)/1.18)/N5)</f>
        <v>0.198891569217481</v>
      </c>
      <c r="S5" s="15" t="str">
        <f aca="false">IF(OR(P5="",O5=""),"",(P5-O5)/O5)</f>
        <v/>
      </c>
      <c r="T5" s="9" t="str">
        <f aca="false">IF(AND(D5="",G5&lt;&gt;""),"no dates - assumed 1 night",IF(Q5="","",IF(Q5&gt;1.5,"check: markup &gt;150%",IF(Q5&lt;0,"below cost",""))))</f>
        <v/>
      </c>
    </row>
    <row r="6" customFormat="false" ht="15" hidden="false" customHeight="false" outlineLevel="0" collapsed="false">
      <c r="A6" s="9" t="s">
        <v>12</v>
      </c>
      <c r="B6" s="9" t="s">
        <v>157</v>
      </c>
      <c r="C6" s="9" t="s">
        <v>44</v>
      </c>
      <c r="D6" s="16"/>
      <c r="E6" s="16"/>
      <c r="F6" s="9" t="n">
        <f aca="false">IF(OR(D6="",E6=""),1,MAX(1,DATEVALUE(E6)-DATEVALUE(D6)))</f>
        <v>1</v>
      </c>
      <c r="G6" s="11" t="n">
        <v>42018</v>
      </c>
      <c r="H6" s="11" t="n">
        <v>47736</v>
      </c>
      <c r="I6" s="11"/>
      <c r="J6" s="11"/>
      <c r="K6" s="11"/>
      <c r="L6" s="12"/>
      <c r="M6" s="13"/>
      <c r="N6" s="14" t="n">
        <f aca="false">IF(G6="","",G6/F6)</f>
        <v>42018</v>
      </c>
      <c r="O6" s="14" t="n">
        <f aca="false">IF(COUNT(H6:K6)=0,"",MIN(H6:K6)/F6)</f>
        <v>47736</v>
      </c>
      <c r="P6" s="14" t="str">
        <f aca="false">IF(L6="","",L6*95/F6)</f>
        <v/>
      </c>
      <c r="Q6" s="15" t="n">
        <f aca="false">IF(OR(N6="",O6=""),"",(IF(AND(N6&gt;7500,O6&gt;7500),O6/(1+IF(O6&lt;=1000,0,IF(O6&lt;=7500,0.05,0.18)))-IF(AND(N6&gt;7500,O6&gt;7500),N6/1.18,N6),(O6-IF(AND(N6&gt;7500,O6&gt;7500),N6/1.18,N6))/(1+IF(O6&lt;=1000,0,IF(O6&lt;=7500,0.05,0.18)))))/(IF(AND(N6&gt;7500,O6&gt;7500),N6/1.18,N6)))</f>
        <v>0.1360845351992</v>
      </c>
      <c r="R6" s="15" t="n">
        <f aca="false">IF(OR(N6="",O6=""),"",((O6-N6)/1.18)/N6)</f>
        <v>0.115325877287458</v>
      </c>
      <c r="S6" s="15" t="str">
        <f aca="false">IF(OR(P6="",O6=""),"",(P6-O6)/O6)</f>
        <v/>
      </c>
      <c r="T6" s="9" t="str">
        <f aca="false">IF(AND(D6="",G6&lt;&gt;""),"no dates - assumed 1 night",IF(Q6="","",IF(Q6&gt;1.5,"check: markup &gt;150%",IF(Q6&lt;0,"below cost",""))))</f>
        <v>no dates - assumed 1 night</v>
      </c>
    </row>
    <row r="7" customFormat="false" ht="15" hidden="false" customHeight="false" outlineLevel="0" collapsed="false">
      <c r="A7" s="9" t="s">
        <v>12</v>
      </c>
      <c r="B7" s="9" t="s">
        <v>157</v>
      </c>
      <c r="C7" s="9" t="s">
        <v>47</v>
      </c>
      <c r="D7" s="16"/>
      <c r="E7" s="16"/>
      <c r="F7" s="9" t="n">
        <f aca="false">IF(OR(D7="",E7=""),1,MAX(1,DATEVALUE(E7)-DATEVALUE(D7)))</f>
        <v>1</v>
      </c>
      <c r="G7" s="11" t="n">
        <v>46284</v>
      </c>
      <c r="H7" s="11" t="n">
        <v>60747</v>
      </c>
      <c r="I7" s="11"/>
      <c r="J7" s="11"/>
      <c r="K7" s="11"/>
      <c r="L7" s="12"/>
      <c r="M7" s="13"/>
      <c r="N7" s="14" t="n">
        <f aca="false">IF(G7="","",G7/F7)</f>
        <v>46284</v>
      </c>
      <c r="O7" s="14" t="n">
        <f aca="false">IF(COUNT(H7:K7)=0,"",MIN(H7:K7)/F7)</f>
        <v>60747</v>
      </c>
      <c r="P7" s="14" t="str">
        <f aca="false">IF(L7="","",L7*95/F7)</f>
        <v/>
      </c>
      <c r="Q7" s="15" t="n">
        <f aca="false">IF(OR(N7="",O7=""),"",(IF(AND(N7&gt;7500,O7&gt;7500),O7/(1+IF(O7&lt;=1000,0,IF(O7&lt;=7500,0.05,0.18)))-IF(AND(N7&gt;7500,O7&gt;7500),N7/1.18,N7),(O7-IF(AND(N7&gt;7500,O7&gt;7500),N7/1.18,N7))/(1+IF(O7&lt;=1000,0,IF(O7&lt;=7500,0.05,0.18)))))/(IF(AND(N7&gt;7500,O7&gt;7500),N7/1.18,N7)))</f>
        <v>0.312483795696137</v>
      </c>
      <c r="R7" s="15" t="n">
        <f aca="false">IF(OR(N7="",O7=""),"",((O7-N7)/1.18)/N7)</f>
        <v>0.264816776013675</v>
      </c>
      <c r="S7" s="15" t="str">
        <f aca="false">IF(OR(P7="",O7=""),"",(P7-O7)/O7)</f>
        <v/>
      </c>
      <c r="T7" s="9" t="str">
        <f aca="false">IF(AND(D7="",G7&lt;&gt;""),"no dates - assumed 1 night",IF(Q7="","",IF(Q7&gt;1.5,"check: markup &gt;150%",IF(Q7&lt;0,"below cost",""))))</f>
        <v>no dates - assumed 1 night</v>
      </c>
    </row>
    <row r="8" customFormat="false" ht="15" hidden="false" customHeight="false" outlineLevel="0" collapsed="false">
      <c r="A8" s="9" t="s">
        <v>12</v>
      </c>
      <c r="B8" s="9" t="s">
        <v>157</v>
      </c>
      <c r="C8" s="9" t="s">
        <v>50</v>
      </c>
      <c r="D8" s="16"/>
      <c r="E8" s="16"/>
      <c r="F8" s="9" t="n">
        <f aca="false">IF(OR(D8="",E8=""),1,MAX(1,DATEVALUE(E8)-DATEVALUE(D8)))</f>
        <v>1</v>
      </c>
      <c r="G8" s="11" t="n">
        <v>46187</v>
      </c>
      <c r="H8" s="11" t="n">
        <v>58786</v>
      </c>
      <c r="I8" s="11"/>
      <c r="J8" s="11"/>
      <c r="K8" s="11"/>
      <c r="L8" s="12"/>
      <c r="M8" s="13"/>
      <c r="N8" s="14" t="n">
        <f aca="false">IF(G8="","",G8/F8)</f>
        <v>46187</v>
      </c>
      <c r="O8" s="14" t="n">
        <f aca="false">IF(COUNT(H8:K8)=0,"",MIN(H8:K8)/F8)</f>
        <v>58786</v>
      </c>
      <c r="P8" s="14" t="str">
        <f aca="false">IF(L8="","",L8*95/F8)</f>
        <v/>
      </c>
      <c r="Q8" s="15" t="n">
        <f aca="false">IF(OR(N8="",O8=""),"",(IF(AND(N8&gt;7500,O8&gt;7500),O8/(1+IF(O8&lt;=1000,0,IF(O8&lt;=7500,0.05,0.18)))-IF(AND(N8&gt;7500,O8&gt;7500),N8/1.18,N8),(O8-IF(AND(N8&gt;7500,O8&gt;7500),N8/1.18,N8))/(1+IF(O8&lt;=1000,0,IF(O8&lt;=7500,0.05,0.18)))))/(IF(AND(N8&gt;7500,O8&gt;7500),N8/1.18,N8)))</f>
        <v>0.27278238465369</v>
      </c>
      <c r="R8" s="15" t="n">
        <f aca="false">IF(OR(N8="",O8=""),"",((O8-N8)/1.18)/N8)</f>
        <v>0.231171512418382</v>
      </c>
      <c r="S8" s="15" t="str">
        <f aca="false">IF(OR(P8="",O8=""),"",(P8-O8)/O8)</f>
        <v/>
      </c>
      <c r="T8" s="9" t="str">
        <f aca="false">IF(AND(D8="",G8&lt;&gt;""),"no dates - assumed 1 night",IF(Q8="","",IF(Q8&gt;1.5,"check: markup &gt;150%",IF(Q8&lt;0,"below cost",""))))</f>
        <v>no dates - assumed 1 night</v>
      </c>
    </row>
    <row r="9" customFormat="false" ht="15" hidden="false" customHeight="false" outlineLevel="0" collapsed="false">
      <c r="A9" s="9" t="s">
        <v>12</v>
      </c>
      <c r="B9" s="9" t="s">
        <v>157</v>
      </c>
      <c r="C9" s="9" t="s">
        <v>54</v>
      </c>
      <c r="D9" s="16"/>
      <c r="E9" s="16"/>
      <c r="F9" s="9" t="n">
        <f aca="false">IF(OR(D9="",E9=""),1,MAX(1,DATEVALUE(E9)-DATEVALUE(D9)))</f>
        <v>1</v>
      </c>
      <c r="G9" s="11" t="n">
        <v>49943</v>
      </c>
      <c r="H9" s="11" t="n">
        <v>81536</v>
      </c>
      <c r="I9" s="11"/>
      <c r="J9" s="11"/>
      <c r="K9" s="11"/>
      <c r="L9" s="12"/>
      <c r="M9" s="13"/>
      <c r="N9" s="14" t="n">
        <f aca="false">IF(G9="","",G9/F9)</f>
        <v>49943</v>
      </c>
      <c r="O9" s="14" t="n">
        <f aca="false">IF(COUNT(H9:K9)=0,"",MIN(H9:K9)/F9)</f>
        <v>81536</v>
      </c>
      <c r="P9" s="14" t="str">
        <f aca="false">IF(L9="","",L9*95/F9)</f>
        <v/>
      </c>
      <c r="Q9" s="15" t="n">
        <f aca="false">IF(OR(N9="",O9=""),"",(IF(AND(N9&gt;7500,O9&gt;7500),O9/(1+IF(O9&lt;=1000,0,IF(O9&lt;=7500,0.05,0.18)))-IF(AND(N9&gt;7500,O9&gt;7500),N9/1.18,N9),(O9-IF(AND(N9&gt;7500,O9&gt;7500),N9/1.18,N9))/(1+IF(O9&lt;=1000,0,IF(O9&lt;=7500,0.05,0.18)))))/(IF(AND(N9&gt;7500,O9&gt;7500),N9/1.18,N9)))</f>
        <v>0.632581142502453</v>
      </c>
      <c r="R9" s="15" t="n">
        <f aca="false">IF(OR(N9="",O9=""),"",((O9-N9)/1.18)/N9)</f>
        <v>0.53608571398513</v>
      </c>
      <c r="S9" s="15" t="str">
        <f aca="false">IF(OR(P9="",O9=""),"",(P9-O9)/O9)</f>
        <v/>
      </c>
      <c r="T9" s="9" t="str">
        <f aca="false">IF(AND(D9="",G9&lt;&gt;""),"no dates - assumed 1 night",IF(Q9="","",IF(Q9&gt;1.5,"check: markup &gt;150%",IF(Q9&lt;0,"below cost",""))))</f>
        <v>no dates - assumed 1 night</v>
      </c>
    </row>
    <row r="10" customFormat="false" ht="15" hidden="false" customHeight="false" outlineLevel="0" collapsed="false">
      <c r="A10" s="9" t="s">
        <v>12</v>
      </c>
      <c r="B10" s="9" t="s">
        <v>158</v>
      </c>
      <c r="C10" s="9" t="s">
        <v>44</v>
      </c>
      <c r="D10" s="16"/>
      <c r="E10" s="16"/>
      <c r="F10" s="9" t="n">
        <f aca="false">IF(OR(D10="",E10=""),1,MAX(1,DATEVALUE(E10)-DATEVALUE(D10)))</f>
        <v>1</v>
      </c>
      <c r="G10" s="11" t="n">
        <v>38908</v>
      </c>
      <c r="H10" s="11" t="n">
        <v>42546</v>
      </c>
      <c r="I10" s="11"/>
      <c r="J10" s="11"/>
      <c r="K10" s="11"/>
      <c r="L10" s="12"/>
      <c r="M10" s="13"/>
      <c r="N10" s="14" t="n">
        <f aca="false">IF(G10="","",G10/F10)</f>
        <v>38908</v>
      </c>
      <c r="O10" s="14" t="n">
        <f aca="false">IF(COUNT(H10:K10)=0,"",MIN(H10:K10)/F10)</f>
        <v>42546</v>
      </c>
      <c r="P10" s="14" t="str">
        <f aca="false">IF(L10="","",L10*95/F10)</f>
        <v/>
      </c>
      <c r="Q10" s="15" t="n">
        <f aca="false">IF(OR(N10="",O10=""),"",(IF(AND(N10&gt;7500,O10&gt;7500),O10/(1+IF(O10&lt;=1000,0,IF(O10&lt;=7500,0.05,0.18)))-IF(AND(N10&gt;7500,O10&gt;7500),N10/1.18,N10),(O10-IF(AND(N10&gt;7500,O10&gt;7500),N10/1.18,N10))/(1+IF(O10&lt;=1000,0,IF(O10&lt;=7500,0.05,0.18)))))/(IF(AND(N10&gt;7500,O10&gt;7500),N10/1.18,N10)))</f>
        <v>0.093502621568829</v>
      </c>
      <c r="R10" s="15" t="n">
        <f aca="false">IF(OR(N10="",O10=""),"",((O10-N10)/1.18)/N10)</f>
        <v>0.0792395098040924</v>
      </c>
      <c r="S10" s="15" t="str">
        <f aca="false">IF(OR(P10="",O10=""),"",(P10-O10)/O10)</f>
        <v/>
      </c>
      <c r="T10" s="9" t="str">
        <f aca="false">IF(AND(D10="",G10&lt;&gt;""),"no dates - assumed 1 night",IF(Q10="","",IF(Q10&gt;1.5,"check: markup &gt;150%",IF(Q10&lt;0,"below cost",""))))</f>
        <v>no dates - assumed 1 night</v>
      </c>
    </row>
    <row r="11" customFormat="false" ht="15" hidden="false" customHeight="false" outlineLevel="0" collapsed="false">
      <c r="A11" s="9" t="s">
        <v>12</v>
      </c>
      <c r="B11" s="9" t="s">
        <v>158</v>
      </c>
      <c r="C11" s="9" t="s">
        <v>47</v>
      </c>
      <c r="D11" s="16"/>
      <c r="E11" s="16"/>
      <c r="F11" s="9" t="n">
        <f aca="false">IF(OR(D11="",E11=""),1,MAX(1,DATEVALUE(E11)-DATEVALUE(D11)))</f>
        <v>1</v>
      </c>
      <c r="G11" s="11" t="n">
        <v>46547</v>
      </c>
      <c r="H11" s="11" t="n">
        <v>52388</v>
      </c>
      <c r="I11" s="11"/>
      <c r="J11" s="11"/>
      <c r="K11" s="11"/>
      <c r="L11" s="12"/>
      <c r="M11" s="13"/>
      <c r="N11" s="14" t="n">
        <f aca="false">IF(G11="","",G11/F11)</f>
        <v>46547</v>
      </c>
      <c r="O11" s="14" t="n">
        <f aca="false">IF(COUNT(H11:K11)=0,"",MIN(H11:K11)/F11)</f>
        <v>52388</v>
      </c>
      <c r="P11" s="14" t="str">
        <f aca="false">IF(L11="","",L11*95/F11)</f>
        <v/>
      </c>
      <c r="Q11" s="15" t="n">
        <f aca="false">IF(OR(N11="",O11=""),"",(IF(AND(N11&gt;7500,O11&gt;7500),O11/(1+IF(O11&lt;=1000,0,IF(O11&lt;=7500,0.05,0.18)))-IF(AND(N11&gt;7500,O11&gt;7500),N11/1.18,N11),(O11-IF(AND(N11&gt;7500,O11&gt;7500),N11/1.18,N11))/(1+IF(O11&lt;=1000,0,IF(O11&lt;=7500,0.05,0.18)))))/(IF(AND(N11&gt;7500,O11&gt;7500),N11/1.18,N11)))</f>
        <v>0.125486067845404</v>
      </c>
      <c r="R11" s="15" t="n">
        <f aca="false">IF(OR(N11="",O11=""),"",((O11-N11)/1.18)/N11)</f>
        <v>0.106344125292715</v>
      </c>
      <c r="S11" s="15" t="str">
        <f aca="false">IF(OR(P11="",O11=""),"",(P11-O11)/O11)</f>
        <v/>
      </c>
      <c r="T11" s="9" t="str">
        <f aca="false">IF(AND(D11="",G11&lt;&gt;""),"no dates - assumed 1 night",IF(Q11="","",IF(Q11&gt;1.5,"check: markup &gt;150%",IF(Q11&lt;0,"below cost",""))))</f>
        <v>no dates - assumed 1 night</v>
      </c>
    </row>
    <row r="12" customFormat="false" ht="15" hidden="false" customHeight="false" outlineLevel="0" collapsed="false">
      <c r="A12" s="9" t="s">
        <v>12</v>
      </c>
      <c r="B12" s="9" t="s">
        <v>158</v>
      </c>
      <c r="C12" s="9" t="s">
        <v>50</v>
      </c>
      <c r="D12" s="16"/>
      <c r="E12" s="16"/>
      <c r="F12" s="9" t="n">
        <f aca="false">IF(OR(D12="",E12=""),1,MAX(1,DATEVALUE(E12)-DATEVALUE(D12)))</f>
        <v>1</v>
      </c>
      <c r="G12" s="11" t="n">
        <v>49456</v>
      </c>
      <c r="H12" s="11" t="n">
        <v>55241</v>
      </c>
      <c r="I12" s="11"/>
      <c r="J12" s="11"/>
      <c r="K12" s="11"/>
      <c r="L12" s="12"/>
      <c r="M12" s="13"/>
      <c r="N12" s="14" t="n">
        <f aca="false">IF(G12="","",G12/F12)</f>
        <v>49456</v>
      </c>
      <c r="O12" s="14" t="n">
        <f aca="false">IF(COUNT(H12:K12)=0,"",MIN(H12:K12)/F12)</f>
        <v>55241</v>
      </c>
      <c r="P12" s="14" t="str">
        <f aca="false">IF(L12="","",L12*95/F12)</f>
        <v/>
      </c>
      <c r="Q12" s="15" t="n">
        <f aca="false">IF(OR(N12="",O12=""),"",(IF(AND(N12&gt;7500,O12&gt;7500),O12/(1+IF(O12&lt;=1000,0,IF(O12&lt;=7500,0.05,0.18)))-IF(AND(N12&gt;7500,O12&gt;7500),N12/1.18,N12),(O12-IF(AND(N12&gt;7500,O12&gt;7500),N12/1.18,N12))/(1+IF(O12&lt;=1000,0,IF(O12&lt;=7500,0.05,0.18)))))/(IF(AND(N12&gt;7500,O12&gt;7500),N12/1.18,N12)))</f>
        <v>0.116972662568748</v>
      </c>
      <c r="R12" s="15" t="n">
        <f aca="false">IF(OR(N12="",O12=""),"",((O12-N12)/1.18)/N12)</f>
        <v>0.099129375058261</v>
      </c>
      <c r="S12" s="15" t="str">
        <f aca="false">IF(OR(P12="",O12=""),"",(P12-O12)/O12)</f>
        <v/>
      </c>
      <c r="T12" s="9" t="str">
        <f aca="false">IF(AND(D12="",G12&lt;&gt;""),"no dates - assumed 1 night",IF(Q12="","",IF(Q12&gt;1.5,"check: markup &gt;150%",IF(Q12&lt;0,"below cost",""))))</f>
        <v>no dates - assumed 1 night</v>
      </c>
    </row>
    <row r="13" customFormat="false" ht="15" hidden="false" customHeight="false" outlineLevel="0" collapsed="false">
      <c r="A13" s="9" t="s">
        <v>12</v>
      </c>
      <c r="B13" s="9" t="s">
        <v>158</v>
      </c>
      <c r="C13" s="9" t="s">
        <v>54</v>
      </c>
      <c r="D13" s="16"/>
      <c r="E13" s="16"/>
      <c r="F13" s="9" t="n">
        <f aca="false">IF(OR(D13="",E13=""),1,MAX(1,DATEVALUE(E13)-DATEVALUE(D13)))</f>
        <v>1</v>
      </c>
      <c r="G13" s="11" t="n">
        <v>59847</v>
      </c>
      <c r="H13" s="11" t="n">
        <v>69205</v>
      </c>
      <c r="I13" s="11"/>
      <c r="J13" s="11"/>
      <c r="K13" s="11"/>
      <c r="L13" s="12"/>
      <c r="M13" s="13"/>
      <c r="N13" s="14" t="n">
        <f aca="false">IF(G13="","",G13/F13)</f>
        <v>59847</v>
      </c>
      <c r="O13" s="14" t="n">
        <f aca="false">IF(COUNT(H13:K13)=0,"",MIN(H13:K13)/F13)</f>
        <v>69205</v>
      </c>
      <c r="P13" s="14" t="str">
        <f aca="false">IF(L13="","",L13*95/F13)</f>
        <v/>
      </c>
      <c r="Q13" s="15" t="n">
        <f aca="false">IF(OR(N13="",O13=""),"",(IF(AND(N13&gt;7500,O13&gt;7500),O13/(1+IF(O13&lt;=1000,0,IF(O13&lt;=7500,0.05,0.18)))-IF(AND(N13&gt;7500,O13&gt;7500),N13/1.18,N13),(O13-IF(AND(N13&gt;7500,O13&gt;7500),N13/1.18,N13))/(1+IF(O13&lt;=1000,0,IF(O13&lt;=7500,0.05,0.18)))))/(IF(AND(N13&gt;7500,O13&gt;7500),N13/1.18,N13)))</f>
        <v>0.15636539843267</v>
      </c>
      <c r="R13" s="15" t="n">
        <f aca="false">IF(OR(N13="",O13=""),"",((O13-N13)/1.18)/N13)</f>
        <v>0.132513049519212</v>
      </c>
      <c r="S13" s="15" t="str">
        <f aca="false">IF(OR(P13="",O13=""),"",(P13-O13)/O13)</f>
        <v/>
      </c>
      <c r="T13" s="9" t="str">
        <f aca="false">IF(AND(D13="",G13&lt;&gt;""),"no dates - assumed 1 night",IF(Q13="","",IF(Q13&gt;1.5,"check: markup &gt;150%",IF(Q13&lt;0,"below cost",""))))</f>
        <v>no dates - assumed 1 night</v>
      </c>
    </row>
    <row r="14" customFormat="false" ht="15" hidden="false" customHeight="false" outlineLevel="0" collapsed="false">
      <c r="A14" s="9" t="s">
        <v>12</v>
      </c>
      <c r="B14" s="9" t="s">
        <v>159</v>
      </c>
      <c r="C14" s="9" t="s">
        <v>44</v>
      </c>
      <c r="D14" s="16"/>
      <c r="E14" s="16"/>
      <c r="F14" s="9" t="n">
        <f aca="false">IF(OR(D14="",E14=""),1,MAX(1,DATEVALUE(E14)-DATEVALUE(D14)))</f>
        <v>1</v>
      </c>
      <c r="G14" s="11" t="n">
        <v>17565</v>
      </c>
      <c r="H14" s="11" t="n">
        <v>18055</v>
      </c>
      <c r="I14" s="11"/>
      <c r="J14" s="11"/>
      <c r="K14" s="11"/>
      <c r="L14" s="12"/>
      <c r="M14" s="13"/>
      <c r="N14" s="14" t="n">
        <f aca="false">IF(G14="","",G14/F14)</f>
        <v>17565</v>
      </c>
      <c r="O14" s="14" t="n">
        <f aca="false">IF(COUNT(H14:K14)=0,"",MIN(H14:K14)/F14)</f>
        <v>18055</v>
      </c>
      <c r="P14" s="14" t="str">
        <f aca="false">IF(L14="","",L14*95/F14)</f>
        <v/>
      </c>
      <c r="Q14" s="15" t="n">
        <f aca="false">IF(OR(N14="",O14=""),"",(IF(AND(N14&gt;7500,O14&gt;7500),O14/(1+IF(O14&lt;=1000,0,IF(O14&lt;=7500,0.05,0.18)))-IF(AND(N14&gt;7500,O14&gt;7500),N14/1.18,N14),(O14-IF(AND(N14&gt;7500,O14&gt;7500),N14/1.18,N14))/(1+IF(O14&lt;=1000,0,IF(O14&lt;=7500,0.05,0.18)))))/(IF(AND(N14&gt;7500,O14&gt;7500),N14/1.18,N14)))</f>
        <v>0.0278963848562483</v>
      </c>
      <c r="R14" s="15" t="n">
        <f aca="false">IF(OR(N14="",O14=""),"",((O14-N14)/1.18)/N14)</f>
        <v>0.0236410041154646</v>
      </c>
      <c r="S14" s="15" t="str">
        <f aca="false">IF(OR(P14="",O14=""),"",(P14-O14)/O14)</f>
        <v/>
      </c>
      <c r="T14" s="9" t="str">
        <f aca="false">IF(AND(D14="",G14&lt;&gt;""),"no dates - assumed 1 night",IF(Q14="","",IF(Q14&gt;1.5,"check: markup &gt;150%",IF(Q14&lt;0,"below cost",""))))</f>
        <v>no dates - assumed 1 night</v>
      </c>
    </row>
    <row r="15" customFormat="false" ht="15" hidden="false" customHeight="false" outlineLevel="0" collapsed="false">
      <c r="A15" s="9" t="s">
        <v>12</v>
      </c>
      <c r="B15" s="9" t="s">
        <v>159</v>
      </c>
      <c r="C15" s="9" t="s">
        <v>47</v>
      </c>
      <c r="D15" s="16"/>
      <c r="E15" s="16"/>
      <c r="F15" s="9" t="n">
        <f aca="false">IF(OR(D15="",E15=""),1,MAX(1,DATEVALUE(E15)-DATEVALUE(D15)))</f>
        <v>1</v>
      </c>
      <c r="G15" s="11" t="n">
        <v>18444</v>
      </c>
      <c r="H15" s="11" t="n">
        <v>18956</v>
      </c>
      <c r="I15" s="11"/>
      <c r="J15" s="11"/>
      <c r="K15" s="11"/>
      <c r="L15" s="12"/>
      <c r="M15" s="13"/>
      <c r="N15" s="14" t="n">
        <f aca="false">IF(G15="","",G15/F15)</f>
        <v>18444</v>
      </c>
      <c r="O15" s="14" t="n">
        <f aca="false">IF(COUNT(H15:K15)=0,"",MIN(H15:K15)/F15)</f>
        <v>18956</v>
      </c>
      <c r="P15" s="14" t="str">
        <f aca="false">IF(L15="","",L15*95/F15)</f>
        <v/>
      </c>
      <c r="Q15" s="15" t="n">
        <f aca="false">IF(OR(N15="",O15=""),"",(IF(AND(N15&gt;7500,O15&gt;7500),O15/(1+IF(O15&lt;=1000,0,IF(O15&lt;=7500,0.05,0.18)))-IF(AND(N15&gt;7500,O15&gt;7500),N15/1.18,N15),(O15-IF(AND(N15&gt;7500,O15&gt;7500),N15/1.18,N15))/(1+IF(O15&lt;=1000,0,IF(O15&lt;=7500,0.05,0.18)))))/(IF(AND(N15&gt;7500,O15&gt;7500),N15/1.18,N15)))</f>
        <v>0.0277597050531338</v>
      </c>
      <c r="R15" s="15" t="n">
        <f aca="false">IF(OR(N15="",O15=""),"",((O15-N15)/1.18)/N15)</f>
        <v>0.0235251737738422</v>
      </c>
      <c r="S15" s="15" t="str">
        <f aca="false">IF(OR(P15="",O15=""),"",(P15-O15)/O15)</f>
        <v/>
      </c>
      <c r="T15" s="9" t="str">
        <f aca="false">IF(AND(D15="",G15&lt;&gt;""),"no dates - assumed 1 night",IF(Q15="","",IF(Q15&gt;1.5,"check: markup &gt;150%",IF(Q15&lt;0,"below cost",""))))</f>
        <v>no dates - assumed 1 night</v>
      </c>
    </row>
    <row r="16" customFormat="false" ht="15" hidden="false" customHeight="false" outlineLevel="0" collapsed="false">
      <c r="A16" s="9" t="s">
        <v>12</v>
      </c>
      <c r="B16" s="9" t="s">
        <v>159</v>
      </c>
      <c r="C16" s="9" t="s">
        <v>50</v>
      </c>
      <c r="D16" s="16"/>
      <c r="E16" s="16"/>
      <c r="F16" s="9" t="n">
        <f aca="false">IF(OR(D16="",E16=""),1,MAX(1,DATEVALUE(E16)-DATEVALUE(D16)))</f>
        <v>1</v>
      </c>
      <c r="G16" s="11" t="n">
        <v>26690</v>
      </c>
      <c r="H16" s="11" t="n">
        <v>29980</v>
      </c>
      <c r="I16" s="11"/>
      <c r="J16" s="11"/>
      <c r="K16" s="11"/>
      <c r="L16" s="12"/>
      <c r="M16" s="13"/>
      <c r="N16" s="14" t="n">
        <f aca="false">IF(G16="","",G16/F16)</f>
        <v>26690</v>
      </c>
      <c r="O16" s="14" t="n">
        <f aca="false">IF(COUNT(H16:K16)=0,"",MIN(H16:K16)/F16)</f>
        <v>29980</v>
      </c>
      <c r="P16" s="14" t="str">
        <f aca="false">IF(L16="","",L16*95/F16)</f>
        <v/>
      </c>
      <c r="Q16" s="15" t="n">
        <f aca="false">IF(OR(N16="",O16=""),"",(IF(AND(N16&gt;7500,O16&gt;7500),O16/(1+IF(O16&lt;=1000,0,IF(O16&lt;=7500,0.05,0.18)))-IF(AND(N16&gt;7500,O16&gt;7500),N16/1.18,N16),(O16-IF(AND(N16&gt;7500,O16&gt;7500),N16/1.18,N16))/(1+IF(O16&lt;=1000,0,IF(O16&lt;=7500,0.05,0.18)))))/(IF(AND(N16&gt;7500,O16&gt;7500),N16/1.18,N16)))</f>
        <v>0.123267141251405</v>
      </c>
      <c r="R16" s="15" t="n">
        <f aca="false">IF(OR(N16="",O16=""),"",((O16-N16)/1.18)/N16)</f>
        <v>0.104463679026614</v>
      </c>
      <c r="S16" s="15" t="str">
        <f aca="false">IF(OR(P16="",O16=""),"",(P16-O16)/O16)</f>
        <v/>
      </c>
      <c r="T16" s="9" t="str">
        <f aca="false">IF(AND(D16="",G16&lt;&gt;""),"no dates - assumed 1 night",IF(Q16="","",IF(Q16&gt;1.5,"check: markup &gt;150%",IF(Q16&lt;0,"below cost",""))))</f>
        <v>no dates - assumed 1 night</v>
      </c>
    </row>
    <row r="17" customFormat="false" ht="15" hidden="false" customHeight="false" outlineLevel="0" collapsed="false">
      <c r="A17" s="9" t="s">
        <v>12</v>
      </c>
      <c r="B17" s="9" t="s">
        <v>159</v>
      </c>
      <c r="C17" s="9" t="s">
        <v>54</v>
      </c>
      <c r="D17" s="16"/>
      <c r="E17" s="16"/>
      <c r="F17" s="9" t="n">
        <f aca="false">IF(OR(D17="",E17=""),1,MAX(1,DATEVALUE(E17)-DATEVALUE(D17)))</f>
        <v>1</v>
      </c>
      <c r="G17" s="11" t="n">
        <v>27845</v>
      </c>
      <c r="H17" s="11" t="n">
        <v>31633</v>
      </c>
      <c r="I17" s="11"/>
      <c r="J17" s="11"/>
      <c r="K17" s="11"/>
      <c r="L17" s="12"/>
      <c r="M17" s="13"/>
      <c r="N17" s="14" t="n">
        <f aca="false">IF(G17="","",G17/F17)</f>
        <v>27845</v>
      </c>
      <c r="O17" s="14" t="n">
        <f aca="false">IF(COUNT(H17:K17)=0,"",MIN(H17:K17)/F17)</f>
        <v>31633</v>
      </c>
      <c r="P17" s="14" t="str">
        <f aca="false">IF(L17="","",L17*95/F17)</f>
        <v/>
      </c>
      <c r="Q17" s="15" t="n">
        <f aca="false">IF(OR(N17="",O17=""),"",(IF(AND(N17&gt;7500,O17&gt;7500),O17/(1+IF(O17&lt;=1000,0,IF(O17&lt;=7500,0.05,0.18)))-IF(AND(N17&gt;7500,O17&gt;7500),N17/1.18,N17),(O17-IF(AND(N17&gt;7500,O17&gt;7500),N17/1.18,N17))/(1+IF(O17&lt;=1000,0,IF(O17&lt;=7500,0.05,0.18)))))/(IF(AND(N17&gt;7500,O17&gt;7500),N17/1.18,N17)))</f>
        <v>0.136038786137547</v>
      </c>
      <c r="R17" s="15" t="n">
        <f aca="false">IF(OR(N17="",O17=""),"",((O17-N17)/1.18)/N17)</f>
        <v>0.115287106896226</v>
      </c>
      <c r="S17" s="15" t="str">
        <f aca="false">IF(OR(P17="",O17=""),"",(P17-O17)/O17)</f>
        <v/>
      </c>
      <c r="T17" s="9" t="str">
        <f aca="false">IF(AND(D17="",G17&lt;&gt;""),"no dates - assumed 1 night",IF(Q17="","",IF(Q17&gt;1.5,"check: markup &gt;150%",IF(Q17&lt;0,"below cost",""))))</f>
        <v>no dates - assumed 1 night</v>
      </c>
    </row>
    <row r="18" customFormat="false" ht="15" hidden="false" customHeight="false" outlineLevel="0" collapsed="false">
      <c r="A18" s="9" t="s">
        <v>12</v>
      </c>
      <c r="B18" s="9" t="s">
        <v>160</v>
      </c>
      <c r="C18" s="9" t="s">
        <v>44</v>
      </c>
      <c r="D18" s="16"/>
      <c r="E18" s="16"/>
      <c r="F18" s="9" t="n">
        <f aca="false">IF(OR(D18="",E18=""),1,MAX(1,DATEVALUE(E18)-DATEVALUE(D18)))</f>
        <v>1</v>
      </c>
      <c r="G18" s="11" t="n">
        <v>33086</v>
      </c>
      <c r="H18" s="11" t="n">
        <v>34038</v>
      </c>
      <c r="I18" s="11"/>
      <c r="J18" s="11"/>
      <c r="K18" s="11"/>
      <c r="L18" s="12"/>
      <c r="M18" s="13"/>
      <c r="N18" s="14" t="n">
        <f aca="false">IF(G18="","",G18/F18)</f>
        <v>33086</v>
      </c>
      <c r="O18" s="14" t="n">
        <f aca="false">IF(COUNT(H18:K18)=0,"",MIN(H18:K18)/F18)</f>
        <v>34038</v>
      </c>
      <c r="P18" s="14" t="str">
        <f aca="false">IF(L18="","",L18*95/F18)</f>
        <v/>
      </c>
      <c r="Q18" s="15" t="n">
        <f aca="false">IF(OR(N18="",O18=""),"",(IF(AND(N18&gt;7500,O18&gt;7500),O18/(1+IF(O18&lt;=1000,0,IF(O18&lt;=7500,0.05,0.18)))-IF(AND(N18&gt;7500,O18&gt;7500),N18/1.18,N18),(O18-IF(AND(N18&gt;7500,O18&gt;7500),N18/1.18,N18))/(1+IF(O18&lt;=1000,0,IF(O18&lt;=7500,0.05,0.18)))))/(IF(AND(N18&gt;7500,O18&gt;7500),N18/1.18,N18)))</f>
        <v>0.0287734993652905</v>
      </c>
      <c r="R18" s="15" t="n">
        <f aca="false">IF(OR(N18="",O18=""),"",((O18-N18)/1.18)/N18)</f>
        <v>0.0243843214960089</v>
      </c>
      <c r="S18" s="15" t="str">
        <f aca="false">IF(OR(P18="",O18=""),"",(P18-O18)/O18)</f>
        <v/>
      </c>
      <c r="T18" s="9" t="str">
        <f aca="false">IF(AND(D18="",G18&lt;&gt;""),"no dates - assumed 1 night",IF(Q18="","",IF(Q18&gt;1.5,"check: markup &gt;150%",IF(Q18&lt;0,"below cost",""))))</f>
        <v>no dates - assumed 1 night</v>
      </c>
    </row>
    <row r="19" customFormat="false" ht="15" hidden="false" customHeight="false" outlineLevel="0" collapsed="false">
      <c r="A19" s="9" t="s">
        <v>12</v>
      </c>
      <c r="B19" s="9" t="s">
        <v>160</v>
      </c>
      <c r="C19" s="9" t="s">
        <v>47</v>
      </c>
      <c r="D19" s="16"/>
      <c r="E19" s="16"/>
      <c r="F19" s="9" t="n">
        <f aca="false">IF(OR(D19="",E19=""),1,MAX(1,DATEVALUE(E19)-DATEVALUE(D19)))</f>
        <v>1</v>
      </c>
      <c r="G19" s="11" t="n">
        <v>32643</v>
      </c>
      <c r="H19" s="11" t="n">
        <v>35818</v>
      </c>
      <c r="I19" s="11"/>
      <c r="J19" s="11"/>
      <c r="K19" s="11"/>
      <c r="L19" s="12"/>
      <c r="M19" s="13"/>
      <c r="N19" s="14" t="n">
        <f aca="false">IF(G19="","",G19/F19)</f>
        <v>32643</v>
      </c>
      <c r="O19" s="14" t="n">
        <f aca="false">IF(COUNT(H19:K19)=0,"",MIN(H19:K19)/F19)</f>
        <v>35818</v>
      </c>
      <c r="P19" s="14" t="str">
        <f aca="false">IF(L19="","",L19*95/F19)</f>
        <v/>
      </c>
      <c r="Q19" s="15" t="n">
        <f aca="false">IF(OR(N19="",O19=""),"",(IF(AND(N19&gt;7500,O19&gt;7500),O19/(1+IF(O19&lt;=1000,0,IF(O19&lt;=7500,0.05,0.18)))-IF(AND(N19&gt;7500,O19&gt;7500),N19/1.18,N19),(O19-IF(AND(N19&gt;7500,O19&gt;7500),N19/1.18,N19))/(1+IF(O19&lt;=1000,0,IF(O19&lt;=7500,0.05,0.18)))))/(IF(AND(N19&gt;7500,O19&gt;7500),N19/1.18,N19)))</f>
        <v>0.0972643445761725</v>
      </c>
      <c r="R19" s="15" t="n">
        <f aca="false">IF(OR(N19="",O19=""),"",((O19-N19)/1.18)/N19)</f>
        <v>0.0824274106577733</v>
      </c>
      <c r="S19" s="15" t="str">
        <f aca="false">IF(OR(P19="",O19=""),"",(P19-O19)/O19)</f>
        <v/>
      </c>
      <c r="T19" s="9" t="str">
        <f aca="false">IF(AND(D19="",G19&lt;&gt;""),"no dates - assumed 1 night",IF(Q19="","",IF(Q19&gt;1.5,"check: markup &gt;150%",IF(Q19&lt;0,"below cost",""))))</f>
        <v>no dates - assumed 1 night</v>
      </c>
    </row>
    <row r="20" customFormat="false" ht="15" hidden="false" customHeight="false" outlineLevel="0" collapsed="false">
      <c r="A20" s="9" t="s">
        <v>12</v>
      </c>
      <c r="B20" s="9" t="s">
        <v>160</v>
      </c>
      <c r="C20" s="9" t="s">
        <v>50</v>
      </c>
      <c r="D20" s="16"/>
      <c r="E20" s="16"/>
      <c r="F20" s="9" t="n">
        <f aca="false">IF(OR(D20="",E20=""),1,MAX(1,DATEVALUE(E20)-DATEVALUE(D20)))</f>
        <v>1</v>
      </c>
      <c r="G20" s="11" t="n">
        <v>34254</v>
      </c>
      <c r="H20" s="11" t="n">
        <v>38012</v>
      </c>
      <c r="I20" s="11"/>
      <c r="J20" s="11"/>
      <c r="K20" s="11"/>
      <c r="L20" s="12"/>
      <c r="M20" s="13"/>
      <c r="N20" s="14" t="n">
        <f aca="false">IF(G20="","",G20/F20)</f>
        <v>34254</v>
      </c>
      <c r="O20" s="14" t="n">
        <f aca="false">IF(COUNT(H20:K20)=0,"",MIN(H20:K20)/F20)</f>
        <v>38012</v>
      </c>
      <c r="P20" s="14" t="str">
        <f aca="false">IF(L20="","",L20*95/F20)</f>
        <v/>
      </c>
      <c r="Q20" s="15" t="n">
        <f aca="false">IF(OR(N20="",O20=""),"",(IF(AND(N20&gt;7500,O20&gt;7500),O20/(1+IF(O20&lt;=1000,0,IF(O20&lt;=7500,0.05,0.18)))-IF(AND(N20&gt;7500,O20&gt;7500),N20/1.18,N20),(O20-IF(AND(N20&gt;7500,O20&gt;7500),N20/1.18,N20))/(1+IF(O20&lt;=1000,0,IF(O20&lt;=7500,0.05,0.18)))))/(IF(AND(N20&gt;7500,O20&gt;7500),N20/1.18,N20)))</f>
        <v>0.109709814912127</v>
      </c>
      <c r="R20" s="15" t="n">
        <f aca="false">IF(OR(N20="",O20=""),"",((O20-N20)/1.18)/N20)</f>
        <v>0.0929744194170568</v>
      </c>
      <c r="S20" s="15" t="str">
        <f aca="false">IF(OR(P20="",O20=""),"",(P20-O20)/O20)</f>
        <v/>
      </c>
      <c r="T20" s="9" t="str">
        <f aca="false">IF(AND(D20="",G20&lt;&gt;""),"no dates - assumed 1 night",IF(Q20="","",IF(Q20&gt;1.5,"check: markup &gt;150%",IF(Q20&lt;0,"below cost",""))))</f>
        <v>no dates - assumed 1 night</v>
      </c>
    </row>
    <row r="21" customFormat="false" ht="15" hidden="false" customHeight="false" outlineLevel="0" collapsed="false">
      <c r="A21" s="9" t="s">
        <v>12</v>
      </c>
      <c r="B21" s="9" t="s">
        <v>160</v>
      </c>
      <c r="C21" s="9" t="s">
        <v>54</v>
      </c>
      <c r="D21" s="16"/>
      <c r="E21" s="16"/>
      <c r="F21" s="9" t="n">
        <f aca="false">IF(OR(D21="",E21=""),1,MAX(1,DATEVALUE(E21)-DATEVALUE(D21)))</f>
        <v>1</v>
      </c>
      <c r="G21" s="11" t="n">
        <v>45932</v>
      </c>
      <c r="H21" s="11" t="n">
        <v>53019</v>
      </c>
      <c r="I21" s="11"/>
      <c r="J21" s="11"/>
      <c r="K21" s="11"/>
      <c r="L21" s="12"/>
      <c r="M21" s="13"/>
      <c r="N21" s="14" t="n">
        <f aca="false">IF(G21="","",G21/F21)</f>
        <v>45932</v>
      </c>
      <c r="O21" s="14" t="n">
        <f aca="false">IF(COUNT(H21:K21)=0,"",MIN(H21:K21)/F21)</f>
        <v>53019</v>
      </c>
      <c r="P21" s="14" t="str">
        <f aca="false">IF(L21="","",L21*95/F21)</f>
        <v/>
      </c>
      <c r="Q21" s="15" t="n">
        <f aca="false">IF(OR(N21="",O21=""),"",(IF(AND(N21&gt;7500,O21&gt;7500),O21/(1+IF(O21&lt;=1000,0,IF(O21&lt;=7500,0.05,0.18)))-IF(AND(N21&gt;7500,O21&gt;7500),N21/1.18,N21),(O21-IF(AND(N21&gt;7500,O21&gt;7500),N21/1.18,N21))/(1+IF(O21&lt;=1000,0,IF(O21&lt;=7500,0.05,0.18)))))/(IF(AND(N21&gt;7500,O21&gt;7500),N21/1.18,N21)))</f>
        <v>0.154293303143778</v>
      </c>
      <c r="R21" s="15" t="n">
        <f aca="false">IF(OR(N21="",O21=""),"",((O21-N21)/1.18)/N21)</f>
        <v>0.130757036562524</v>
      </c>
      <c r="S21" s="15" t="str">
        <f aca="false">IF(OR(P21="",O21=""),"",(P21-O21)/O21)</f>
        <v/>
      </c>
      <c r="T21" s="9" t="str">
        <f aca="false">IF(AND(D21="",G21&lt;&gt;""),"no dates - assumed 1 night",IF(Q21="","",IF(Q21&gt;1.5,"check: markup &gt;150%",IF(Q21&lt;0,"below cost",""))))</f>
        <v>no dates - assumed 1 night</v>
      </c>
    </row>
    <row r="22" customFormat="false" ht="15" hidden="false" customHeight="false" outlineLevel="0" collapsed="false">
      <c r="A22" s="9" t="s">
        <v>12</v>
      </c>
      <c r="B22" s="9" t="s">
        <v>161</v>
      </c>
      <c r="C22" s="9" t="s">
        <v>44</v>
      </c>
      <c r="D22" s="16"/>
      <c r="E22" s="16"/>
      <c r="F22" s="9" t="n">
        <f aca="false">IF(OR(D22="",E22=""),1,MAX(1,DATEVALUE(E22)-DATEVALUE(D22)))</f>
        <v>1</v>
      </c>
      <c r="G22" s="11" t="n">
        <v>33406</v>
      </c>
      <c r="H22" s="11" t="n">
        <v>34585</v>
      </c>
      <c r="I22" s="11"/>
      <c r="J22" s="11"/>
      <c r="K22" s="11"/>
      <c r="L22" s="12"/>
      <c r="M22" s="13"/>
      <c r="N22" s="14" t="n">
        <f aca="false">IF(G22="","",G22/F22)</f>
        <v>33406</v>
      </c>
      <c r="O22" s="14" t="n">
        <f aca="false">IF(COUNT(H22:K22)=0,"",MIN(H22:K22)/F22)</f>
        <v>34585</v>
      </c>
      <c r="P22" s="14" t="str">
        <f aca="false">IF(L22="","",L22*95/F22)</f>
        <v/>
      </c>
      <c r="Q22" s="15" t="n">
        <f aca="false">IF(OR(N22="",O22=""),"",(IF(AND(N22&gt;7500,O22&gt;7500),O22/(1+IF(O22&lt;=1000,0,IF(O22&lt;=7500,0.05,0.18)))-IF(AND(N22&gt;7500,O22&gt;7500),N22/1.18,N22),(O22-IF(AND(N22&gt;7500,O22&gt;7500),N22/1.18,N22))/(1+IF(O22&lt;=1000,0,IF(O22&lt;=7500,0.05,0.18)))))/(IF(AND(N22&gt;7500,O22&gt;7500),N22/1.18,N22)))</f>
        <v>0.0352930611267437</v>
      </c>
      <c r="R22" s="15" t="n">
        <f aca="false">IF(OR(N22="",O22=""),"",((O22-N22)/1.18)/N22)</f>
        <v>0.0299093738362235</v>
      </c>
      <c r="S22" s="15" t="str">
        <f aca="false">IF(OR(P22="",O22=""),"",(P22-O22)/O22)</f>
        <v/>
      </c>
      <c r="T22" s="9" t="str">
        <f aca="false">IF(AND(D22="",G22&lt;&gt;""),"no dates - assumed 1 night",IF(Q22="","",IF(Q22&gt;1.5,"check: markup &gt;150%",IF(Q22&lt;0,"below cost",""))))</f>
        <v>no dates - assumed 1 night</v>
      </c>
    </row>
    <row r="23" customFormat="false" ht="15" hidden="false" customHeight="false" outlineLevel="0" collapsed="false">
      <c r="A23" s="9" t="s">
        <v>12</v>
      </c>
      <c r="B23" s="9" t="s">
        <v>161</v>
      </c>
      <c r="C23" s="9" t="s">
        <v>47</v>
      </c>
      <c r="D23" s="16"/>
      <c r="E23" s="16"/>
      <c r="F23" s="9" t="n">
        <f aca="false">IF(OR(D23="",E23=""),1,MAX(1,DATEVALUE(E23)-DATEVALUE(D23)))</f>
        <v>1</v>
      </c>
      <c r="G23" s="11" t="n">
        <v>31750</v>
      </c>
      <c r="H23" s="11" t="n">
        <v>40261</v>
      </c>
      <c r="I23" s="11"/>
      <c r="J23" s="11"/>
      <c r="K23" s="11"/>
      <c r="L23" s="12"/>
      <c r="M23" s="13"/>
      <c r="N23" s="14" t="n">
        <f aca="false">IF(G23="","",G23/F23)</f>
        <v>31750</v>
      </c>
      <c r="O23" s="14" t="n">
        <f aca="false">IF(COUNT(H23:K23)=0,"",MIN(H23:K23)/F23)</f>
        <v>40261</v>
      </c>
      <c r="P23" s="14" t="str">
        <f aca="false">IF(L23="","",L23*95/F23)</f>
        <v/>
      </c>
      <c r="Q23" s="15" t="n">
        <f aca="false">IF(OR(N23="",O23=""),"",(IF(AND(N23&gt;7500,O23&gt;7500),O23/(1+IF(O23&lt;=1000,0,IF(O23&lt;=7500,0.05,0.18)))-IF(AND(N23&gt;7500,O23&gt;7500),N23/1.18,N23),(O23-IF(AND(N23&gt;7500,O23&gt;7500),N23/1.18,N23))/(1+IF(O23&lt;=1000,0,IF(O23&lt;=7500,0.05,0.18)))))/(IF(AND(N23&gt;7500,O23&gt;7500),N23/1.18,N23)))</f>
        <v>0.268062992125984</v>
      </c>
      <c r="R23" s="15" t="n">
        <f aca="false">IF(OR(N23="",O23=""),"",((O23-N23)/1.18)/N23)</f>
        <v>0.22717202722541</v>
      </c>
      <c r="S23" s="15" t="str">
        <f aca="false">IF(OR(P23="",O23=""),"",(P23-O23)/O23)</f>
        <v/>
      </c>
      <c r="T23" s="9" t="str">
        <f aca="false">IF(AND(D23="",G23&lt;&gt;""),"no dates - assumed 1 night",IF(Q23="","",IF(Q23&gt;1.5,"check: markup &gt;150%",IF(Q23&lt;0,"below cost",""))))</f>
        <v>no dates - assumed 1 night</v>
      </c>
    </row>
    <row r="24" customFormat="false" ht="15" hidden="false" customHeight="false" outlineLevel="0" collapsed="false">
      <c r="A24" s="9" t="s">
        <v>12</v>
      </c>
      <c r="B24" s="9" t="s">
        <v>161</v>
      </c>
      <c r="C24" s="9" t="s">
        <v>50</v>
      </c>
      <c r="D24" s="16"/>
      <c r="E24" s="16"/>
      <c r="F24" s="9" t="n">
        <f aca="false">IF(OR(D24="",E24=""),1,MAX(1,DATEVALUE(E24)-DATEVALUE(D24)))</f>
        <v>1</v>
      </c>
      <c r="G24" s="11" t="n">
        <v>51096</v>
      </c>
      <c r="H24" s="11" t="n">
        <v>55979</v>
      </c>
      <c r="I24" s="11"/>
      <c r="J24" s="11"/>
      <c r="K24" s="11"/>
      <c r="L24" s="12"/>
      <c r="M24" s="13"/>
      <c r="N24" s="14" t="n">
        <f aca="false">IF(G24="","",G24/F24)</f>
        <v>51096</v>
      </c>
      <c r="O24" s="14" t="n">
        <f aca="false">IF(COUNT(H24:K24)=0,"",MIN(H24:K24)/F24)</f>
        <v>55979</v>
      </c>
      <c r="P24" s="14" t="str">
        <f aca="false">IF(L24="","",L24*95/F24)</f>
        <v/>
      </c>
      <c r="Q24" s="15" t="n">
        <f aca="false">IF(OR(N24="",O24=""),"",(IF(AND(N24&gt;7500,O24&gt;7500),O24/(1+IF(O24&lt;=1000,0,IF(O24&lt;=7500,0.05,0.18)))-IF(AND(N24&gt;7500,O24&gt;7500),N24/1.18,N24),(O24-IF(AND(N24&gt;7500,O24&gt;7500),N24/1.18,N24))/(1+IF(O24&lt;=1000,0,IF(O24&lt;=7500,0.05,0.18)))))/(IF(AND(N24&gt;7500,O24&gt;7500),N24/1.18,N24)))</f>
        <v>0.0955652105839989</v>
      </c>
      <c r="R24" s="15" t="n">
        <f aca="false">IF(OR(N24="",O24=""),"",((O24-N24)/1.18)/N24)</f>
        <v>0.0809874665966091</v>
      </c>
      <c r="S24" s="15" t="str">
        <f aca="false">IF(OR(P24="",O24=""),"",(P24-O24)/O24)</f>
        <v/>
      </c>
      <c r="T24" s="9" t="str">
        <f aca="false">IF(AND(D24="",G24&lt;&gt;""),"no dates - assumed 1 night",IF(Q24="","",IF(Q24&gt;1.5,"check: markup &gt;150%",IF(Q24&lt;0,"below cost",""))))</f>
        <v>no dates - assumed 1 night</v>
      </c>
    </row>
    <row r="25" customFormat="false" ht="15" hidden="false" customHeight="false" outlineLevel="0" collapsed="false">
      <c r="A25" s="9" t="s">
        <v>12</v>
      </c>
      <c r="B25" s="9" t="s">
        <v>161</v>
      </c>
      <c r="C25" s="9" t="s">
        <v>54</v>
      </c>
      <c r="D25" s="16"/>
      <c r="E25" s="16"/>
      <c r="F25" s="9" t="n">
        <f aca="false">IF(OR(D25="",E25=""),1,MAX(1,DATEVALUE(E25)-DATEVALUE(D25)))</f>
        <v>1</v>
      </c>
      <c r="G25" s="11" t="n">
        <v>69260</v>
      </c>
      <c r="H25" s="11" t="n">
        <v>75881</v>
      </c>
      <c r="I25" s="11"/>
      <c r="J25" s="11"/>
      <c r="K25" s="11"/>
      <c r="L25" s="12"/>
      <c r="M25" s="13"/>
      <c r="N25" s="14" t="n">
        <f aca="false">IF(G25="","",G25/F25)</f>
        <v>69260</v>
      </c>
      <c r="O25" s="14" t="n">
        <f aca="false">IF(COUNT(H25:K25)=0,"",MIN(H25:K25)/F25)</f>
        <v>75881</v>
      </c>
      <c r="P25" s="14" t="str">
        <f aca="false">IF(L25="","",L25*95/F25)</f>
        <v/>
      </c>
      <c r="Q25" s="15" t="n">
        <f aca="false">IF(OR(N25="",O25=""),"",(IF(AND(N25&gt;7500,O25&gt;7500),O25/(1+IF(O25&lt;=1000,0,IF(O25&lt;=7500,0.05,0.18)))-IF(AND(N25&gt;7500,O25&gt;7500),N25/1.18,N25),(O25-IF(AND(N25&gt;7500,O25&gt;7500),N25/1.18,N25))/(1+IF(O25&lt;=1000,0,IF(O25&lt;=7500,0.05,0.18)))))/(IF(AND(N25&gt;7500,O25&gt;7500),N25/1.18,N25)))</f>
        <v>0.0955963037828473</v>
      </c>
      <c r="R25" s="15" t="n">
        <f aca="false">IF(OR(N25="",O25=""),"",((O25-N25)/1.18)/N25)</f>
        <v>0.0810138167651248</v>
      </c>
      <c r="S25" s="15" t="str">
        <f aca="false">IF(OR(P25="",O25=""),"",(P25-O25)/O25)</f>
        <v/>
      </c>
      <c r="T25" s="9" t="str">
        <f aca="false">IF(AND(D25="",G25&lt;&gt;""),"no dates - assumed 1 night",IF(Q25="","",IF(Q25&gt;1.5,"check: markup &gt;150%",IF(Q25&lt;0,"below cost",""))))</f>
        <v>no dates - assumed 1 night</v>
      </c>
    </row>
    <row r="26" customFormat="false" ht="15" hidden="false" customHeight="false" outlineLevel="0" collapsed="false">
      <c r="A26" s="9" t="s">
        <v>12</v>
      </c>
      <c r="B26" s="9" t="s">
        <v>162</v>
      </c>
      <c r="C26" s="9" t="s">
        <v>44</v>
      </c>
      <c r="D26" s="16"/>
      <c r="E26" s="16"/>
      <c r="F26" s="9" t="n">
        <f aca="false">IF(OR(D26="",E26=""),1,MAX(1,DATEVALUE(E26)-DATEVALUE(D26)))</f>
        <v>1</v>
      </c>
      <c r="G26" s="11" t="n">
        <v>47177</v>
      </c>
      <c r="H26" s="11" t="n">
        <v>56318</v>
      </c>
      <c r="I26" s="11"/>
      <c r="J26" s="11"/>
      <c r="K26" s="11"/>
      <c r="L26" s="12"/>
      <c r="M26" s="13"/>
      <c r="N26" s="14" t="n">
        <f aca="false">IF(G26="","",G26/F26)</f>
        <v>47177</v>
      </c>
      <c r="O26" s="14" t="n">
        <f aca="false">IF(COUNT(H26:K26)=0,"",MIN(H26:K26)/F26)</f>
        <v>56318</v>
      </c>
      <c r="P26" s="14" t="str">
        <f aca="false">IF(L26="","",L26*95/F26)</f>
        <v/>
      </c>
      <c r="Q26" s="15" t="n">
        <f aca="false">IF(OR(N26="",O26=""),"",(IF(AND(N26&gt;7500,O26&gt;7500),O26/(1+IF(O26&lt;=1000,0,IF(O26&lt;=7500,0.05,0.18)))-IF(AND(N26&gt;7500,O26&gt;7500),N26/1.18,N26),(O26-IF(AND(N26&gt;7500,O26&gt;7500),N26/1.18,N26))/(1+IF(O26&lt;=1000,0,IF(O26&lt;=7500,0.05,0.18)))))/(IF(AND(N26&gt;7500,O26&gt;7500),N26/1.18,N26)))</f>
        <v>0.193759671026136</v>
      </c>
      <c r="R26" s="15" t="n">
        <f aca="false">IF(OR(N26="",O26=""),"",((O26-N26)/1.18)/N26)</f>
        <v>0.164203111039098</v>
      </c>
      <c r="S26" s="15" t="str">
        <f aca="false">IF(OR(P26="",O26=""),"",(P26-O26)/O26)</f>
        <v/>
      </c>
      <c r="T26" s="9" t="str">
        <f aca="false">IF(AND(D26="",G26&lt;&gt;""),"no dates - assumed 1 night",IF(Q26="","",IF(Q26&gt;1.5,"check: markup &gt;150%",IF(Q26&lt;0,"below cost",""))))</f>
        <v>no dates - assumed 1 night</v>
      </c>
    </row>
    <row r="27" customFormat="false" ht="15" hidden="false" customHeight="false" outlineLevel="0" collapsed="false">
      <c r="A27" s="9" t="s">
        <v>12</v>
      </c>
      <c r="B27" s="9" t="s">
        <v>162</v>
      </c>
      <c r="C27" s="9" t="s">
        <v>47</v>
      </c>
      <c r="D27" s="16"/>
      <c r="E27" s="16"/>
      <c r="F27" s="9" t="n">
        <f aca="false">IF(OR(D27="",E27=""),1,MAX(1,DATEVALUE(E27)-DATEVALUE(D27)))</f>
        <v>1</v>
      </c>
      <c r="G27" s="11" t="n">
        <v>47177</v>
      </c>
      <c r="H27" s="11" t="n">
        <v>56460</v>
      </c>
      <c r="I27" s="11"/>
      <c r="J27" s="11"/>
      <c r="K27" s="11"/>
      <c r="L27" s="12"/>
      <c r="M27" s="13"/>
      <c r="N27" s="14" t="n">
        <f aca="false">IF(G27="","",G27/F27)</f>
        <v>47177</v>
      </c>
      <c r="O27" s="14" t="n">
        <f aca="false">IF(COUNT(H27:K27)=0,"",MIN(H27:K27)/F27)</f>
        <v>56460</v>
      </c>
      <c r="P27" s="14" t="str">
        <f aca="false">IF(L27="","",L27*95/F27)</f>
        <v/>
      </c>
      <c r="Q27" s="15" t="n">
        <f aca="false">IF(OR(N27="",O27=""),"",(IF(AND(N27&gt;7500,O27&gt;7500),O27/(1+IF(O27&lt;=1000,0,IF(O27&lt;=7500,0.05,0.18)))-IF(AND(N27&gt;7500,O27&gt;7500),N27/1.18,N27),(O27-IF(AND(N27&gt;7500,O27&gt;7500),N27/1.18,N27))/(1+IF(O27&lt;=1000,0,IF(O27&lt;=7500,0.05,0.18)))))/(IF(AND(N27&gt;7500,O27&gt;7500),N27/1.18,N27)))</f>
        <v>0.196769612311084</v>
      </c>
      <c r="R27" s="15" t="n">
        <f aca="false">IF(OR(N27="",O27=""),"",((O27-N27)/1.18)/N27)</f>
        <v>0.166753908738207</v>
      </c>
      <c r="S27" s="15" t="str">
        <f aca="false">IF(OR(P27="",O27=""),"",(P27-O27)/O27)</f>
        <v/>
      </c>
      <c r="T27" s="9" t="str">
        <f aca="false">IF(AND(D27="",G27&lt;&gt;""),"no dates - assumed 1 night",IF(Q27="","",IF(Q27&gt;1.5,"check: markup &gt;150%",IF(Q27&lt;0,"below cost",""))))</f>
        <v>no dates - assumed 1 night</v>
      </c>
    </row>
    <row r="28" customFormat="false" ht="15" hidden="false" customHeight="false" outlineLevel="0" collapsed="false">
      <c r="A28" s="9" t="s">
        <v>12</v>
      </c>
      <c r="B28" s="9" t="s">
        <v>162</v>
      </c>
      <c r="C28" s="9" t="s">
        <v>50</v>
      </c>
      <c r="D28" s="16"/>
      <c r="E28" s="16"/>
      <c r="F28" s="9" t="n">
        <f aca="false">IF(OR(D28="",E28=""),1,MAX(1,DATEVALUE(E28)-DATEVALUE(D28)))</f>
        <v>1</v>
      </c>
      <c r="G28" s="11" t="n">
        <v>65974</v>
      </c>
      <c r="H28" s="11" t="n">
        <v>63961</v>
      </c>
      <c r="I28" s="11"/>
      <c r="J28" s="11"/>
      <c r="K28" s="11"/>
      <c r="L28" s="12"/>
      <c r="M28" s="13"/>
      <c r="N28" s="14" t="n">
        <f aca="false">IF(G28="","",G28/F28)</f>
        <v>65974</v>
      </c>
      <c r="O28" s="14" t="n">
        <f aca="false">IF(COUNT(H28:K28)=0,"",MIN(H28:K28)/F28)</f>
        <v>63961</v>
      </c>
      <c r="P28" s="14" t="str">
        <f aca="false">IF(L28="","",L28*95/F28)</f>
        <v/>
      </c>
      <c r="Q28" s="15" t="n">
        <f aca="false">IF(OR(N28="",O28=""),"",(IF(AND(N28&gt;7500,O28&gt;7500),O28/(1+IF(O28&lt;=1000,0,IF(O28&lt;=7500,0.05,0.18)))-IF(AND(N28&gt;7500,O28&gt;7500),N28/1.18,N28),(O28-IF(AND(N28&gt;7500,O28&gt;7500),N28/1.18,N28))/(1+IF(O28&lt;=1000,0,IF(O28&lt;=7500,0.05,0.18)))))/(IF(AND(N28&gt;7500,O28&gt;7500),N28/1.18,N28)))</f>
        <v>-0.030512019886622</v>
      </c>
      <c r="R28" s="15" t="n">
        <f aca="false">IF(OR(N28="",O28=""),"",((O28-N28)/1.18)/N28)</f>
        <v>-0.0258576439717136</v>
      </c>
      <c r="S28" s="15" t="str">
        <f aca="false">IF(OR(P28="",O28=""),"",(P28-O28)/O28)</f>
        <v/>
      </c>
      <c r="T28" s="9" t="str">
        <f aca="false">IF(AND(D28="",G28&lt;&gt;""),"no dates - assumed 1 night",IF(Q28="","",IF(Q28&gt;1.5,"check: markup &gt;150%",IF(Q28&lt;0,"below cost",""))))</f>
        <v>no dates - assumed 1 night</v>
      </c>
    </row>
    <row r="29" customFormat="false" ht="15" hidden="false" customHeight="false" outlineLevel="0" collapsed="false">
      <c r="A29" s="9" t="s">
        <v>12</v>
      </c>
      <c r="B29" s="9" t="s">
        <v>162</v>
      </c>
      <c r="C29" s="9" t="s">
        <v>54</v>
      </c>
      <c r="D29" s="16"/>
      <c r="E29" s="16"/>
      <c r="F29" s="9" t="n">
        <f aca="false">IF(OR(D29="",E29=""),1,MAX(1,DATEVALUE(E29)-DATEVALUE(D29)))</f>
        <v>1</v>
      </c>
      <c r="G29" s="11" t="n">
        <v>89676</v>
      </c>
      <c r="H29" s="11" t="n">
        <v>88328</v>
      </c>
      <c r="I29" s="11"/>
      <c r="J29" s="11"/>
      <c r="K29" s="11"/>
      <c r="L29" s="12"/>
      <c r="M29" s="13"/>
      <c r="N29" s="14" t="n">
        <f aca="false">IF(G29="","",G29/F29)</f>
        <v>89676</v>
      </c>
      <c r="O29" s="14" t="n">
        <f aca="false">IF(COUNT(H29:K29)=0,"",MIN(H29:K29)/F29)</f>
        <v>88328</v>
      </c>
      <c r="P29" s="14" t="str">
        <f aca="false">IF(L29="","",L29*95/F29)</f>
        <v/>
      </c>
      <c r="Q29" s="15" t="n">
        <f aca="false">IF(OR(N29="",O29=""),"",(IF(AND(N29&gt;7500,O29&gt;7500),O29/(1+IF(O29&lt;=1000,0,IF(O29&lt;=7500,0.05,0.18)))-IF(AND(N29&gt;7500,O29&gt;7500),N29/1.18,N29),(O29-IF(AND(N29&gt;7500,O29&gt;7500),N29/1.18,N29))/(1+IF(O29&lt;=1000,0,IF(O29&lt;=7500,0.05,0.18)))))/(IF(AND(N29&gt;7500,O29&gt;7500),N29/1.18,N29)))</f>
        <v>-0.0150318925911057</v>
      </c>
      <c r="R29" s="15" t="n">
        <f aca="false">IF(OR(N29="",O29=""),"",((O29-N29)/1.18)/N29)</f>
        <v>-0.0127388920263608</v>
      </c>
      <c r="S29" s="15" t="str">
        <f aca="false">IF(OR(P29="",O29=""),"",(P29-O29)/O29)</f>
        <v/>
      </c>
      <c r="T29" s="9" t="str">
        <f aca="false">IF(AND(D29="",G29&lt;&gt;""),"no dates - assumed 1 night",IF(Q29="","",IF(Q29&gt;1.5,"check: markup &gt;150%",IF(Q29&lt;0,"below cost",""))))</f>
        <v>no dates - assumed 1 night</v>
      </c>
    </row>
    <row r="30" customFormat="false" ht="15" hidden="false" customHeight="false" outlineLevel="0" collapsed="false">
      <c r="A30" s="9" t="s">
        <v>12</v>
      </c>
      <c r="B30" s="9" t="s">
        <v>163</v>
      </c>
      <c r="C30" s="9" t="s">
        <v>44</v>
      </c>
      <c r="D30" s="16"/>
      <c r="E30" s="16"/>
      <c r="F30" s="9" t="n">
        <f aca="false">IF(OR(D30="",E30=""),1,MAX(1,DATEVALUE(E30)-DATEVALUE(D30)))</f>
        <v>1</v>
      </c>
      <c r="G30" s="11" t="n">
        <v>37973</v>
      </c>
      <c r="H30" s="11" t="n">
        <v>37305</v>
      </c>
      <c r="I30" s="11"/>
      <c r="J30" s="11"/>
      <c r="K30" s="11"/>
      <c r="L30" s="12"/>
      <c r="M30" s="13"/>
      <c r="N30" s="14" t="n">
        <f aca="false">IF(G30="","",G30/F30)</f>
        <v>37973</v>
      </c>
      <c r="O30" s="14" t="n">
        <f aca="false">IF(COUNT(H30:K30)=0,"",MIN(H30:K30)/F30)</f>
        <v>37305</v>
      </c>
      <c r="P30" s="14" t="str">
        <f aca="false">IF(L30="","",L30*95/F30)</f>
        <v/>
      </c>
      <c r="Q30" s="15" t="n">
        <f aca="false">IF(OR(N30="",O30=""),"",(IF(AND(N30&gt;7500,O30&gt;7500),O30/(1+IF(O30&lt;=1000,0,IF(O30&lt;=7500,0.05,0.18)))-IF(AND(N30&gt;7500,O30&gt;7500),N30/1.18,N30),(O30-IF(AND(N30&gt;7500,O30&gt;7500),N30/1.18,N30))/(1+IF(O30&lt;=1000,0,IF(O30&lt;=7500,0.05,0.18)))))/(IF(AND(N30&gt;7500,O30&gt;7500),N30/1.18,N30)))</f>
        <v>-0.0175914465541306</v>
      </c>
      <c r="R30" s="15" t="n">
        <f aca="false">IF(OR(N30="",O30=""),"",((O30-N30)/1.18)/N30)</f>
        <v>-0.0149080055543479</v>
      </c>
      <c r="S30" s="15" t="str">
        <f aca="false">IF(OR(P30="",O30=""),"",(P30-O30)/O30)</f>
        <v/>
      </c>
      <c r="T30" s="9" t="str">
        <f aca="false">IF(AND(D30="",G30&lt;&gt;""),"no dates - assumed 1 night",IF(Q30="","",IF(Q30&gt;1.5,"check: markup &gt;150%",IF(Q30&lt;0,"below cost",""))))</f>
        <v>no dates - assumed 1 night</v>
      </c>
    </row>
    <row r="31" customFormat="false" ht="15" hidden="false" customHeight="false" outlineLevel="0" collapsed="false">
      <c r="A31" s="9" t="s">
        <v>12</v>
      </c>
      <c r="B31" s="9" t="s">
        <v>163</v>
      </c>
      <c r="C31" s="9" t="s">
        <v>47</v>
      </c>
      <c r="D31" s="16"/>
      <c r="E31" s="16"/>
      <c r="F31" s="9" t="n">
        <f aca="false">IF(OR(D31="",E31=""),1,MAX(1,DATEVALUE(E31)-DATEVALUE(D31)))</f>
        <v>1</v>
      </c>
      <c r="G31" s="11" t="n">
        <v>54040</v>
      </c>
      <c r="H31" s="11" t="n">
        <v>38332</v>
      </c>
      <c r="I31" s="11"/>
      <c r="J31" s="11"/>
      <c r="K31" s="11"/>
      <c r="L31" s="12"/>
      <c r="M31" s="13"/>
      <c r="N31" s="14" t="n">
        <f aca="false">IF(G31="","",G31/F31)</f>
        <v>54040</v>
      </c>
      <c r="O31" s="14" t="n">
        <f aca="false">IF(COUNT(H31:K31)=0,"",MIN(H31:K31)/F31)</f>
        <v>38332</v>
      </c>
      <c r="P31" s="14" t="str">
        <f aca="false">IF(L31="","",L31*95/F31)</f>
        <v/>
      </c>
      <c r="Q31" s="15" t="n">
        <f aca="false">IF(OR(N31="",O31=""),"",(IF(AND(N31&gt;7500,O31&gt;7500),O31/(1+IF(O31&lt;=1000,0,IF(O31&lt;=7500,0.05,0.18)))-IF(AND(N31&gt;7500,O31&gt;7500),N31/1.18,N31),(O31-IF(AND(N31&gt;7500,O31&gt;7500),N31/1.18,N31))/(1+IF(O31&lt;=1000,0,IF(O31&lt;=7500,0.05,0.18)))))/(IF(AND(N31&gt;7500,O31&gt;7500),N31/1.18,N31)))</f>
        <v>-0.290673575129534</v>
      </c>
      <c r="R31" s="15" t="n">
        <f aca="false">IF(OR(N31="",O31=""),"",((O31-N31)/1.18)/N31)</f>
        <v>-0.246333538245368</v>
      </c>
      <c r="S31" s="15" t="str">
        <f aca="false">IF(OR(P31="",O31=""),"",(P31-O31)/O31)</f>
        <v/>
      </c>
      <c r="T31" s="9" t="str">
        <f aca="false">IF(AND(D31="",G31&lt;&gt;""),"no dates - assumed 1 night",IF(Q31="","",IF(Q31&gt;1.5,"check: markup &gt;150%",IF(Q31&lt;0,"below cost",""))))</f>
        <v>no dates - assumed 1 night</v>
      </c>
    </row>
    <row r="32" customFormat="false" ht="15" hidden="false" customHeight="false" outlineLevel="0" collapsed="false">
      <c r="A32" s="9" t="s">
        <v>12</v>
      </c>
      <c r="B32" s="9" t="s">
        <v>163</v>
      </c>
      <c r="C32" s="9" t="s">
        <v>50</v>
      </c>
      <c r="D32" s="16"/>
      <c r="E32" s="16"/>
      <c r="F32" s="9" t="n">
        <f aca="false">IF(OR(D32="",E32=""),1,MAX(1,DATEVALUE(E32)-DATEVALUE(D32)))</f>
        <v>1</v>
      </c>
      <c r="G32" s="11" t="n">
        <v>53853</v>
      </c>
      <c r="H32" s="11" t="n">
        <v>39272</v>
      </c>
      <c r="I32" s="11"/>
      <c r="J32" s="11"/>
      <c r="K32" s="11"/>
      <c r="L32" s="12"/>
      <c r="M32" s="13"/>
      <c r="N32" s="14" t="n">
        <f aca="false">IF(G32="","",G32/F32)</f>
        <v>53853</v>
      </c>
      <c r="O32" s="14" t="n">
        <f aca="false">IF(COUNT(H32:K32)=0,"",MIN(H32:K32)/F32)</f>
        <v>39272</v>
      </c>
      <c r="P32" s="14" t="str">
        <f aca="false">IF(L32="","",L32*95/F32)</f>
        <v/>
      </c>
      <c r="Q32" s="15" t="n">
        <f aca="false">IF(OR(N32="",O32=""),"",(IF(AND(N32&gt;7500,O32&gt;7500),O32/(1+IF(O32&lt;=1000,0,IF(O32&lt;=7500,0.05,0.18)))-IF(AND(N32&gt;7500,O32&gt;7500),N32/1.18,N32),(O32-IF(AND(N32&gt;7500,O32&gt;7500),N32/1.18,N32))/(1+IF(O32&lt;=1000,0,IF(O32&lt;=7500,0.05,0.18)))))/(IF(AND(N32&gt;7500,O32&gt;7500),N32/1.18,N32)))</f>
        <v>-0.270755575362561</v>
      </c>
      <c r="R32" s="15" t="n">
        <f aca="false">IF(OR(N32="",O32=""),"",((O32-N32)/1.18)/N32)</f>
        <v>-0.229453877425899</v>
      </c>
      <c r="S32" s="15" t="str">
        <f aca="false">IF(OR(P32="",O32=""),"",(P32-O32)/O32)</f>
        <v/>
      </c>
      <c r="T32" s="9" t="str">
        <f aca="false">IF(AND(D32="",G32&lt;&gt;""),"no dates - assumed 1 night",IF(Q32="","",IF(Q32&gt;1.5,"check: markup &gt;150%",IF(Q32&lt;0,"below cost",""))))</f>
        <v>no dates - assumed 1 night</v>
      </c>
    </row>
    <row r="33" customFormat="false" ht="15" hidden="false" customHeight="false" outlineLevel="0" collapsed="false">
      <c r="A33" s="9" t="s">
        <v>12</v>
      </c>
      <c r="B33" s="9" t="s">
        <v>163</v>
      </c>
      <c r="C33" s="9" t="s">
        <v>44</v>
      </c>
      <c r="D33" s="16"/>
      <c r="E33" s="16"/>
      <c r="F33" s="9" t="n">
        <f aca="false">IF(OR(D33="",E33=""),1,MAX(1,DATEVALUE(E33)-DATEVALUE(D33)))</f>
        <v>1</v>
      </c>
      <c r="G33" s="11" t="n">
        <v>30376</v>
      </c>
      <c r="H33" s="11" t="n">
        <v>33575</v>
      </c>
      <c r="I33" s="11"/>
      <c r="J33" s="11"/>
      <c r="K33" s="11"/>
      <c r="L33" s="12"/>
      <c r="M33" s="13"/>
      <c r="N33" s="14" t="n">
        <f aca="false">IF(G33="","",G33/F33)</f>
        <v>30376</v>
      </c>
      <c r="O33" s="14" t="n">
        <f aca="false">IF(COUNT(H33:K33)=0,"",MIN(H33:K33)/F33)</f>
        <v>33575</v>
      </c>
      <c r="P33" s="14" t="str">
        <f aca="false">IF(L33="","",L33*95/F33)</f>
        <v/>
      </c>
      <c r="Q33" s="15" t="n">
        <f aca="false">IF(OR(N33="",O33=""),"",(IF(AND(N33&gt;7500,O33&gt;7500),O33/(1+IF(O33&lt;=1000,0,IF(O33&lt;=7500,0.05,0.18)))-IF(AND(N33&gt;7500,O33&gt;7500),N33/1.18,N33),(O33-IF(AND(N33&gt;7500,O33&gt;7500),N33/1.18,N33))/(1+IF(O33&lt;=1000,0,IF(O33&lt;=7500,0.05,0.18)))))/(IF(AND(N33&gt;7500,O33&gt;7500),N33/1.18,N33)))</f>
        <v>0.10531340531999</v>
      </c>
      <c r="R33" s="15" t="n">
        <f aca="false">IF(OR(N33="",O33=""),"",((O33-N33)/1.18)/N33)</f>
        <v>0.0892486485762623</v>
      </c>
      <c r="S33" s="15" t="str">
        <f aca="false">IF(OR(P33="",O33=""),"",(P33-O33)/O33)</f>
        <v/>
      </c>
      <c r="T33" s="9" t="str">
        <f aca="false">IF(AND(D33="",G33&lt;&gt;""),"no dates - assumed 1 night",IF(Q33="","",IF(Q33&gt;1.5,"check: markup &gt;150%",IF(Q33&lt;0,"below cost",""))))</f>
        <v>no dates - assumed 1 night</v>
      </c>
    </row>
    <row r="34" customFormat="false" ht="15" hidden="false" customHeight="false" outlineLevel="0" collapsed="false">
      <c r="A34" s="9" t="s">
        <v>12</v>
      </c>
      <c r="B34" s="9" t="s">
        <v>163</v>
      </c>
      <c r="C34" s="9" t="s">
        <v>47</v>
      </c>
      <c r="D34" s="16"/>
      <c r="E34" s="16"/>
      <c r="F34" s="9" t="n">
        <f aca="false">IF(OR(D34="",E34=""),1,MAX(1,DATEVALUE(E34)-DATEVALUE(D34)))</f>
        <v>1</v>
      </c>
      <c r="G34" s="11" t="n">
        <v>33148</v>
      </c>
      <c r="H34" s="11" t="n">
        <v>36638</v>
      </c>
      <c r="I34" s="11"/>
      <c r="J34" s="11"/>
      <c r="K34" s="11"/>
      <c r="L34" s="12"/>
      <c r="M34" s="13"/>
      <c r="N34" s="14" t="n">
        <f aca="false">IF(G34="","",G34/F34)</f>
        <v>33148</v>
      </c>
      <c r="O34" s="14" t="n">
        <f aca="false">IF(COUNT(H34:K34)=0,"",MIN(H34:K34)/F34)</f>
        <v>36638</v>
      </c>
      <c r="P34" s="14" t="str">
        <f aca="false">IF(L34="","",L34*95/F34)</f>
        <v/>
      </c>
      <c r="Q34" s="15" t="n">
        <f aca="false">IF(OR(N34="",O34=""),"",(IF(AND(N34&gt;7500,O34&gt;7500),O34/(1+IF(O34&lt;=1000,0,IF(O34&lt;=7500,0.05,0.18)))-IF(AND(N34&gt;7500,O34&gt;7500),N34/1.18,N34),(O34-IF(AND(N34&gt;7500,O34&gt;7500),N34/1.18,N34))/(1+IF(O34&lt;=1000,0,IF(O34&lt;=7500,0.05,0.18)))))/(IF(AND(N34&gt;7500,O34&gt;7500),N34/1.18,N34)))</f>
        <v>0.105285386750332</v>
      </c>
      <c r="R34" s="15" t="n">
        <f aca="false">IF(OR(N34="",O34=""),"",((O34-N34)/1.18)/N34)</f>
        <v>0.089224904025705</v>
      </c>
      <c r="S34" s="15" t="str">
        <f aca="false">IF(OR(P34="",O34=""),"",(P34-O34)/O34)</f>
        <v/>
      </c>
      <c r="T34" s="9" t="str">
        <f aca="false">IF(AND(D34="",G34&lt;&gt;""),"no dates - assumed 1 night",IF(Q34="","",IF(Q34&gt;1.5,"check: markup &gt;150%",IF(Q34&lt;0,"below cost",""))))</f>
        <v>no dates - assumed 1 night</v>
      </c>
    </row>
    <row r="35" customFormat="false" ht="15" hidden="false" customHeight="false" outlineLevel="0" collapsed="false">
      <c r="A35" s="9" t="s">
        <v>12</v>
      </c>
      <c r="B35" s="9" t="s">
        <v>163</v>
      </c>
      <c r="C35" s="9" t="s">
        <v>50</v>
      </c>
      <c r="D35" s="16"/>
      <c r="E35" s="16"/>
      <c r="F35" s="9" t="n">
        <f aca="false">IF(OR(D35="",E35=""),1,MAX(1,DATEVALUE(E35)-DATEVALUE(D35)))</f>
        <v>1</v>
      </c>
      <c r="G35" s="11" t="n">
        <v>32833</v>
      </c>
      <c r="H35" s="11" t="n">
        <v>35345</v>
      </c>
      <c r="I35" s="11"/>
      <c r="J35" s="11"/>
      <c r="K35" s="11"/>
      <c r="L35" s="12"/>
      <c r="M35" s="13"/>
      <c r="N35" s="14" t="n">
        <f aca="false">IF(G35="","",G35/F35)</f>
        <v>32833</v>
      </c>
      <c r="O35" s="14" t="n">
        <f aca="false">IF(COUNT(H35:K35)=0,"",MIN(H35:K35)/F35)</f>
        <v>35345</v>
      </c>
      <c r="P35" s="14" t="str">
        <f aca="false">IF(L35="","",L35*95/F35)</f>
        <v/>
      </c>
      <c r="Q35" s="15" t="n">
        <f aca="false">IF(OR(N35="",O35=""),"",(IF(AND(N35&gt;7500,O35&gt;7500),O35/(1+IF(O35&lt;=1000,0,IF(O35&lt;=7500,0.05,0.18)))-IF(AND(N35&gt;7500,O35&gt;7500),N35/1.18,N35),(O35-IF(AND(N35&gt;7500,O35&gt;7500),N35/1.18,N35))/(1+IF(O35&lt;=1000,0,IF(O35&lt;=7500,0.05,0.18)))))/(IF(AND(N35&gt;7500,O35&gt;7500),N35/1.18,N35)))</f>
        <v>0.0765083909481315</v>
      </c>
      <c r="R35" s="15" t="n">
        <f aca="false">IF(OR(N35="",O35=""),"",((O35-N35)/1.18)/N35)</f>
        <v>0.064837619447569</v>
      </c>
      <c r="S35" s="15" t="str">
        <f aca="false">IF(OR(P35="",O35=""),"",(P35-O35)/O35)</f>
        <v/>
      </c>
      <c r="T35" s="9" t="str">
        <f aca="false">IF(AND(D35="",G35&lt;&gt;""),"no dates - assumed 1 night",IF(Q35="","",IF(Q35&gt;1.5,"check: markup &gt;150%",IF(Q35&lt;0,"below cost",""))))</f>
        <v>no dates - assumed 1 night</v>
      </c>
    </row>
    <row r="36" customFormat="false" ht="15" hidden="false" customHeight="false" outlineLevel="0" collapsed="false">
      <c r="A36" s="9" t="s">
        <v>12</v>
      </c>
      <c r="B36" s="9" t="s">
        <v>164</v>
      </c>
      <c r="C36" s="9" t="s">
        <v>44</v>
      </c>
      <c r="D36" s="16"/>
      <c r="E36" s="16"/>
      <c r="F36" s="9" t="n">
        <f aca="false">IF(OR(D36="",E36=""),1,MAX(1,DATEVALUE(E36)-DATEVALUE(D36)))</f>
        <v>1</v>
      </c>
      <c r="G36" s="11" t="n">
        <v>62720</v>
      </c>
      <c r="H36" s="11" t="n">
        <v>68124</v>
      </c>
      <c r="I36" s="11"/>
      <c r="J36" s="11"/>
      <c r="K36" s="11"/>
      <c r="L36" s="12"/>
      <c r="M36" s="13"/>
      <c r="N36" s="14" t="n">
        <f aca="false">IF(G36="","",G36/F36)</f>
        <v>62720</v>
      </c>
      <c r="O36" s="14" t="n">
        <f aca="false">IF(COUNT(H36:K36)=0,"",MIN(H36:K36)/F36)</f>
        <v>68124</v>
      </c>
      <c r="P36" s="14" t="str">
        <f aca="false">IF(L36="","",L36*95/F36)</f>
        <v/>
      </c>
      <c r="Q36" s="15" t="n">
        <f aca="false">IF(OR(N36="",O36=""),"",(IF(AND(N36&gt;7500,O36&gt;7500),O36/(1+IF(O36&lt;=1000,0,IF(O36&lt;=7500,0.05,0.18)))-IF(AND(N36&gt;7500,O36&gt;7500),N36/1.18,N36),(O36-IF(AND(N36&gt;7500,O36&gt;7500),N36/1.18,N36))/(1+IF(O36&lt;=1000,0,IF(O36&lt;=7500,0.05,0.18)))))/(IF(AND(N36&gt;7500,O36&gt;7500),N36/1.18,N36)))</f>
        <v>0.0861607142857142</v>
      </c>
      <c r="R36" s="15" t="n">
        <f aca="false">IF(OR(N36="",O36=""),"",((O36-N36)/1.18)/N36)</f>
        <v>0.0730175544794189</v>
      </c>
      <c r="S36" s="15" t="str">
        <f aca="false">IF(OR(P36="",O36=""),"",(P36-O36)/O36)</f>
        <v/>
      </c>
      <c r="T36" s="9" t="str">
        <f aca="false">IF(AND(D36="",G36&lt;&gt;""),"no dates - assumed 1 night",IF(Q36="","",IF(Q36&gt;1.5,"check: markup &gt;150%",IF(Q36&lt;0,"below cost",""))))</f>
        <v>no dates - assumed 1 night</v>
      </c>
    </row>
    <row r="37" customFormat="false" ht="15" hidden="false" customHeight="false" outlineLevel="0" collapsed="false">
      <c r="A37" s="9" t="s">
        <v>12</v>
      </c>
      <c r="B37" s="9" t="s">
        <v>164</v>
      </c>
      <c r="C37" s="9" t="s">
        <v>47</v>
      </c>
      <c r="D37" s="16"/>
      <c r="E37" s="16"/>
      <c r="F37" s="9" t="n">
        <f aca="false">IF(OR(D37="",E37=""),1,MAX(1,DATEVALUE(E37)-DATEVALUE(D37)))</f>
        <v>1</v>
      </c>
      <c r="G37" s="11" t="n">
        <v>75586</v>
      </c>
      <c r="H37" s="11" t="n">
        <v>82098</v>
      </c>
      <c r="I37" s="11"/>
      <c r="J37" s="11"/>
      <c r="K37" s="11"/>
      <c r="L37" s="12"/>
      <c r="M37" s="13"/>
      <c r="N37" s="14" t="n">
        <f aca="false">IF(G37="","",G37/F37)</f>
        <v>75586</v>
      </c>
      <c r="O37" s="14" t="n">
        <f aca="false">IF(COUNT(H37:K37)=0,"",MIN(H37:K37)/F37)</f>
        <v>82098</v>
      </c>
      <c r="P37" s="14" t="str">
        <f aca="false">IF(L37="","",L37*95/F37)</f>
        <v/>
      </c>
      <c r="Q37" s="15" t="n">
        <f aca="false">IF(OR(N37="",O37=""),"",(IF(AND(N37&gt;7500,O37&gt;7500),O37/(1+IF(O37&lt;=1000,0,IF(O37&lt;=7500,0.05,0.18)))-IF(AND(N37&gt;7500,O37&gt;7500),N37/1.18,N37),(O37-IF(AND(N37&gt;7500,O37&gt;7500),N37/1.18,N37))/(1+IF(O37&lt;=1000,0,IF(O37&lt;=7500,0.05,0.18)))))/(IF(AND(N37&gt;7500,O37&gt;7500),N37/1.18,N37)))</f>
        <v>0.0861535204932129</v>
      </c>
      <c r="R37" s="15" t="n">
        <f aca="false">IF(OR(N37="",O37=""),"",((O37-N37)/1.18)/N37)</f>
        <v>0.0730114580450958</v>
      </c>
      <c r="S37" s="15" t="str">
        <f aca="false">IF(OR(P37="",O37=""),"",(P37-O37)/O37)</f>
        <v/>
      </c>
      <c r="T37" s="9" t="str">
        <f aca="false">IF(AND(D37="",G37&lt;&gt;""),"no dates - assumed 1 night",IF(Q37="","",IF(Q37&gt;1.5,"check: markup &gt;150%",IF(Q37&lt;0,"below cost",""))))</f>
        <v>no dates - assumed 1 night</v>
      </c>
    </row>
    <row r="38" customFormat="false" ht="15" hidden="false" customHeight="false" outlineLevel="0" collapsed="false">
      <c r="A38" s="9" t="s">
        <v>12</v>
      </c>
      <c r="B38" s="9" t="s">
        <v>164</v>
      </c>
      <c r="C38" s="9" t="s">
        <v>50</v>
      </c>
      <c r="D38" s="16"/>
      <c r="E38" s="16"/>
      <c r="F38" s="9" t="n">
        <f aca="false">IF(OR(D38="",E38=""),1,MAX(1,DATEVALUE(E38)-DATEVALUE(D38)))</f>
        <v>1</v>
      </c>
      <c r="G38" s="11" t="n">
        <v>79412</v>
      </c>
      <c r="H38" s="11" t="n">
        <v>86465</v>
      </c>
      <c r="I38" s="11"/>
      <c r="J38" s="11"/>
      <c r="K38" s="11"/>
      <c r="L38" s="12"/>
      <c r="M38" s="13"/>
      <c r="N38" s="14" t="n">
        <f aca="false">IF(G38="","",G38/F38)</f>
        <v>79412</v>
      </c>
      <c r="O38" s="14" t="n">
        <f aca="false">IF(COUNT(H38:K38)=0,"",MIN(H38:K38)/F38)</f>
        <v>86465</v>
      </c>
      <c r="P38" s="14" t="str">
        <f aca="false">IF(L38="","",L38*95/F38)</f>
        <v/>
      </c>
      <c r="Q38" s="15" t="n">
        <f aca="false">IF(OR(N38="",O38=""),"",(IF(AND(N38&gt;7500,O38&gt;7500),O38/(1+IF(O38&lt;=1000,0,IF(O38&lt;=7500,0.05,0.18)))-IF(AND(N38&gt;7500,O38&gt;7500),N38/1.18,N38),(O38-IF(AND(N38&gt;7500,O38&gt;7500),N38/1.18,N38))/(1+IF(O38&lt;=1000,0,IF(O38&lt;=7500,0.05,0.18)))))/(IF(AND(N38&gt;7500,O38&gt;7500),N38/1.18,N38)))</f>
        <v>0.0888152923991337</v>
      </c>
      <c r="R38" s="15" t="n">
        <f aca="false">IF(OR(N38="",O38=""),"",((O38-N38)/1.18)/N38)</f>
        <v>0.0752671969484183</v>
      </c>
      <c r="S38" s="15" t="str">
        <f aca="false">IF(OR(P38="",O38=""),"",(P38-O38)/O38)</f>
        <v/>
      </c>
      <c r="T38" s="9" t="str">
        <f aca="false">IF(AND(D38="",G38&lt;&gt;""),"no dates - assumed 1 night",IF(Q38="","",IF(Q38&gt;1.5,"check: markup &gt;150%",IF(Q38&lt;0,"below cost",""))))</f>
        <v>no dates - assumed 1 night</v>
      </c>
    </row>
    <row r="39" customFormat="false" ht="15" hidden="false" customHeight="false" outlineLevel="0" collapsed="false">
      <c r="A39" s="9" t="s">
        <v>12</v>
      </c>
      <c r="B39" s="9" t="s">
        <v>164</v>
      </c>
      <c r="C39" s="9" t="s">
        <v>54</v>
      </c>
      <c r="D39" s="16"/>
      <c r="E39" s="16"/>
      <c r="F39" s="9" t="n">
        <f aca="false">IF(OR(D39="",E39=""),1,MAX(1,DATEVALUE(E39)-DATEVALUE(D39)))</f>
        <v>1</v>
      </c>
      <c r="G39" s="11" t="n">
        <v>125164</v>
      </c>
      <c r="H39" s="11" t="n">
        <v>137121</v>
      </c>
      <c r="I39" s="11"/>
      <c r="J39" s="11"/>
      <c r="K39" s="11"/>
      <c r="L39" s="12"/>
      <c r="M39" s="13"/>
      <c r="N39" s="14" t="n">
        <f aca="false">IF(G39="","",G39/F39)</f>
        <v>125164</v>
      </c>
      <c r="O39" s="14" t="n">
        <f aca="false">IF(COUNT(H39:K39)=0,"",MIN(H39:K39)/F39)</f>
        <v>137121</v>
      </c>
      <c r="P39" s="14" t="str">
        <f aca="false">IF(L39="","",L39*95/F39)</f>
        <v/>
      </c>
      <c r="Q39" s="15" t="n">
        <f aca="false">IF(OR(N39="",O39=""),"",(IF(AND(N39&gt;7500,O39&gt;7500),O39/(1+IF(O39&lt;=1000,0,IF(O39&lt;=7500,0.05,0.18)))-IF(AND(N39&gt;7500,O39&gt;7500),N39/1.18,N39),(O39-IF(AND(N39&gt;7500,O39&gt;7500),N39/1.18,N39))/(1+IF(O39&lt;=1000,0,IF(O39&lt;=7500,0.05,0.18)))))/(IF(AND(N39&gt;7500,O39&gt;7500),N39/1.18,N39)))</f>
        <v>0.0955306637691348</v>
      </c>
      <c r="R39" s="15" t="n">
        <f aca="false">IF(OR(N39="",O39=""),"",((O39-N39)/1.18)/N39)</f>
        <v>0.0809581896348601</v>
      </c>
      <c r="S39" s="15" t="str">
        <f aca="false">IF(OR(P39="",O39=""),"",(P39-O39)/O39)</f>
        <v/>
      </c>
      <c r="T39" s="9" t="str">
        <f aca="false">IF(AND(D39="",G39&lt;&gt;""),"no dates - assumed 1 night",IF(Q39="","",IF(Q39&gt;1.5,"check: markup &gt;150%",IF(Q39&lt;0,"below cost",""))))</f>
        <v>no dates - assumed 1 night</v>
      </c>
    </row>
    <row r="40" customFormat="false" ht="15" hidden="false" customHeight="false" outlineLevel="0" collapsed="false">
      <c r="A40" s="9" t="s">
        <v>12</v>
      </c>
      <c r="B40" s="9" t="s">
        <v>165</v>
      </c>
      <c r="C40" s="9" t="s">
        <v>44</v>
      </c>
      <c r="D40" s="10" t="s">
        <v>103</v>
      </c>
      <c r="E40" s="10" t="s">
        <v>104</v>
      </c>
      <c r="F40" s="9" t="n">
        <f aca="false">IF(OR(D40="",E40=""),1,MAX(1,DATEVALUE(E40)-DATEVALUE(D40)))</f>
        <v>3</v>
      </c>
      <c r="G40" s="11" t="n">
        <v>19705</v>
      </c>
      <c r="H40" s="11" t="n">
        <v>21148</v>
      </c>
      <c r="I40" s="11"/>
      <c r="J40" s="11"/>
      <c r="K40" s="11"/>
      <c r="L40" s="12"/>
      <c r="M40" s="13"/>
      <c r="N40" s="14" t="n">
        <f aca="false">IF(G40="","",G40/F40)</f>
        <v>6568.33333333333</v>
      </c>
      <c r="O40" s="14" t="n">
        <f aca="false">IF(COUNT(H40:K40)=0,"",MIN(H40:K40)/F40)</f>
        <v>7049.33333333333</v>
      </c>
      <c r="P40" s="14" t="str">
        <f aca="false">IF(L40="","",L40*95/F40)</f>
        <v/>
      </c>
      <c r="Q40" s="15" t="n">
        <f aca="false">IF(OR(N40="",O40=""),"",(IF(AND(N40&gt;7500,O40&gt;7500),O40/(1+IF(O40&lt;=1000,0,IF(O40&lt;=7500,0.05,0.18)))-IF(AND(N40&gt;7500,O40&gt;7500),N40/1.18,N40),(O40-IF(AND(N40&gt;7500,O40&gt;7500),N40/1.18,N40))/(1+IF(O40&lt;=1000,0,IF(O40&lt;=7500,0.05,0.18)))))/(IF(AND(N40&gt;7500,O40&gt;7500),N40/1.18,N40)))</f>
        <v>0.0697429948888969</v>
      </c>
      <c r="R40" s="15" t="n">
        <f aca="false">IF(OR(N40="",O40=""),"",((O40-N40)/1.18)/N40)</f>
        <v>0.062059444604527</v>
      </c>
      <c r="S40" s="15" t="str">
        <f aca="false">IF(OR(P40="",O40=""),"",(P40-O40)/O40)</f>
        <v/>
      </c>
      <c r="T40" s="9" t="str">
        <f aca="false">IF(AND(D40="",G40&lt;&gt;""),"no dates - assumed 1 night",IF(Q40="","",IF(Q40&gt;1.5,"check: markup &gt;150%",IF(Q40&lt;0,"below cost",""))))</f>
        <v/>
      </c>
    </row>
    <row r="41" customFormat="false" ht="15" hidden="false" customHeight="false" outlineLevel="0" collapsed="false">
      <c r="A41" s="9" t="s">
        <v>12</v>
      </c>
      <c r="B41" s="9" t="s">
        <v>165</v>
      </c>
      <c r="C41" s="9" t="s">
        <v>47</v>
      </c>
      <c r="D41" s="10" t="s">
        <v>127</v>
      </c>
      <c r="E41" s="10" t="s">
        <v>128</v>
      </c>
      <c r="F41" s="9" t="n">
        <f aca="false">IF(OR(D41="",E41=""),1,MAX(1,DATEVALUE(E41)-DATEVALUE(D41)))</f>
        <v>3</v>
      </c>
      <c r="G41" s="11" t="n">
        <v>21594</v>
      </c>
      <c r="H41" s="11" t="n">
        <v>21771</v>
      </c>
      <c r="I41" s="11"/>
      <c r="J41" s="11"/>
      <c r="K41" s="11"/>
      <c r="L41" s="12"/>
      <c r="M41" s="13"/>
      <c r="N41" s="14" t="n">
        <f aca="false">IF(G41="","",G41/F41)</f>
        <v>7198</v>
      </c>
      <c r="O41" s="14" t="n">
        <f aca="false">IF(COUNT(H41:K41)=0,"",MIN(H41:K41)/F41)</f>
        <v>7257</v>
      </c>
      <c r="P41" s="14" t="str">
        <f aca="false">IF(L41="","",L41*95/F41)</f>
        <v/>
      </c>
      <c r="Q41" s="15" t="n">
        <f aca="false">IF(OR(N41="",O41=""),"",(IF(AND(N41&gt;7500,O41&gt;7500),O41/(1+IF(O41&lt;=1000,0,IF(O41&lt;=7500,0.05,0.18)))-IF(AND(N41&gt;7500,O41&gt;7500),N41/1.18,N41),(O41-IF(AND(N41&gt;7500,O41&gt;7500),N41/1.18,N41))/(1+IF(O41&lt;=1000,0,IF(O41&lt;=7500,0.05,0.18)))))/(IF(AND(N41&gt;7500,O41&gt;7500),N41/1.18,N41)))</f>
        <v>0.0078064012490242</v>
      </c>
      <c r="R41" s="15" t="n">
        <f aca="false">IF(OR(N41="",O41=""),"",((O41-N41)/1.18)/N41)</f>
        <v>0.00694637399277577</v>
      </c>
      <c r="S41" s="15" t="str">
        <f aca="false">IF(OR(P41="",O41=""),"",(P41-O41)/O41)</f>
        <v/>
      </c>
      <c r="T41" s="9" t="str">
        <f aca="false">IF(AND(D41="",G41&lt;&gt;""),"no dates - assumed 1 night",IF(Q41="","",IF(Q41&gt;1.5,"check: markup &gt;150%",IF(Q41&lt;0,"below cost",""))))</f>
        <v/>
      </c>
    </row>
    <row r="42" customFormat="false" ht="15" hidden="false" customHeight="false" outlineLevel="0" collapsed="false">
      <c r="A42" s="9" t="s">
        <v>12</v>
      </c>
      <c r="B42" s="9" t="s">
        <v>165</v>
      </c>
      <c r="C42" s="9" t="s">
        <v>50</v>
      </c>
      <c r="D42" s="10" t="s">
        <v>48</v>
      </c>
      <c r="E42" s="10" t="s">
        <v>49</v>
      </c>
      <c r="F42" s="9" t="n">
        <f aca="false">IF(OR(D42="",E42=""),1,MAX(1,DATEVALUE(E42)-DATEVALUE(D42)))</f>
        <v>3</v>
      </c>
      <c r="G42" s="11" t="n">
        <v>16925</v>
      </c>
      <c r="H42" s="11" t="n">
        <v>17415</v>
      </c>
      <c r="I42" s="11"/>
      <c r="J42" s="11"/>
      <c r="K42" s="11"/>
      <c r="L42" s="12"/>
      <c r="M42" s="13"/>
      <c r="N42" s="14" t="n">
        <f aca="false">IF(G42="","",G42/F42)</f>
        <v>5641.66666666667</v>
      </c>
      <c r="O42" s="14" t="n">
        <f aca="false">IF(COUNT(H42:K42)=0,"",MIN(H42:K42)/F42)</f>
        <v>5805</v>
      </c>
      <c r="P42" s="14" t="str">
        <f aca="false">IF(L42="","",L42*95/F42)</f>
        <v/>
      </c>
      <c r="Q42" s="15" t="n">
        <f aca="false">IF(OR(N42="",O42=""),"",(IF(AND(N42&gt;7500,O42&gt;7500),O42/(1+IF(O42&lt;=1000,0,IF(O42&lt;=7500,0.05,0.18)))-IF(AND(N42&gt;7500,O42&gt;7500),N42/1.18,N42),(O42-IF(AND(N42&gt;7500,O42&gt;7500),N42/1.18,N42))/(1+IF(O42&lt;=1000,0,IF(O42&lt;=7500,0.05,0.18)))))/(IF(AND(N42&gt;7500,O42&gt;7500),N42/1.18,N42)))</f>
        <v>0.0275726243229935</v>
      </c>
      <c r="R42" s="15" t="n">
        <f aca="false">IF(OR(N42="",O42=""),"",((O42-N42)/1.18)/N42)</f>
        <v>0.0245349623213078</v>
      </c>
      <c r="S42" s="15" t="str">
        <f aca="false">IF(OR(P42="",O42=""),"",(P42-O42)/O42)</f>
        <v/>
      </c>
      <c r="T42" s="9" t="str">
        <f aca="false">IF(AND(D42="",G42&lt;&gt;""),"no dates - assumed 1 night",IF(Q42="","",IF(Q42&gt;1.5,"check: markup &gt;150%",IF(Q42&lt;0,"below cost",""))))</f>
        <v/>
      </c>
    </row>
    <row r="43" customFormat="false" ht="15" hidden="false" customHeight="false" outlineLevel="0" collapsed="false">
      <c r="A43" s="9" t="s">
        <v>12</v>
      </c>
      <c r="B43" s="9" t="s">
        <v>165</v>
      </c>
      <c r="C43" s="9" t="s">
        <v>54</v>
      </c>
      <c r="D43" s="10" t="s">
        <v>51</v>
      </c>
      <c r="E43" s="10" t="s">
        <v>52</v>
      </c>
      <c r="F43" s="9" t="n">
        <f aca="false">IF(OR(D43="",E43=""),1,MAX(1,DATEVALUE(E43)-DATEVALUE(D43)))</f>
        <v>3</v>
      </c>
      <c r="G43" s="11" t="n">
        <v>21821</v>
      </c>
      <c r="H43" s="11" t="n">
        <v>21771</v>
      </c>
      <c r="I43" s="11"/>
      <c r="J43" s="11"/>
      <c r="K43" s="11"/>
      <c r="L43" s="12"/>
      <c r="M43" s="13"/>
      <c r="N43" s="14" t="n">
        <f aca="false">IF(G43="","",G43/F43)</f>
        <v>7273.66666666667</v>
      </c>
      <c r="O43" s="14" t="n">
        <f aca="false">IF(COUNT(H43:K43)=0,"",MIN(H43:K43)/F43)</f>
        <v>7257</v>
      </c>
      <c r="P43" s="14" t="str">
        <f aca="false">IF(L43="","",L43*95/F43)</f>
        <v/>
      </c>
      <c r="Q43" s="15" t="n">
        <f aca="false">IF(OR(N43="",O43=""),"",(IF(AND(N43&gt;7500,O43&gt;7500),O43/(1+IF(O43&lt;=1000,0,IF(O43&lt;=7500,0.05,0.18)))-IF(AND(N43&gt;7500,O43&gt;7500),N43/1.18,N43),(O43-IF(AND(N43&gt;7500,O43&gt;7500),N43/1.18,N43))/(1+IF(O43&lt;=1000,0,IF(O43&lt;=7500,0.05,0.18)))))/(IF(AND(N43&gt;7500,O43&gt;7500),N43/1.18,N43)))</f>
        <v>-0.00218225780757291</v>
      </c>
      <c r="R43" s="15" t="n">
        <f aca="false">IF(OR(N43="",O43=""),"",((O43-N43)/1.18)/N43)</f>
        <v>-0.00194183957453522</v>
      </c>
      <c r="S43" s="15" t="str">
        <f aca="false">IF(OR(P43="",O43=""),"",(P43-O43)/O43)</f>
        <v/>
      </c>
      <c r="T43" s="9" t="str">
        <f aca="false">IF(AND(D43="",G43&lt;&gt;""),"no dates - assumed 1 night",IF(Q43="","",IF(Q43&gt;1.5,"check: markup &gt;150%",IF(Q43&lt;0,"below cost",""))))</f>
        <v>below cost</v>
      </c>
    </row>
    <row r="44" customFormat="false" ht="15" hidden="false" customHeight="false" outlineLevel="0" collapsed="false">
      <c r="A44" s="9" t="s">
        <v>12</v>
      </c>
      <c r="B44" s="9" t="s">
        <v>166</v>
      </c>
      <c r="C44" s="9" t="s">
        <v>44</v>
      </c>
      <c r="D44" s="16"/>
      <c r="E44" s="16"/>
      <c r="F44" s="9" t="n">
        <f aca="false">IF(OR(D44="",E44=""),1,MAX(1,DATEVALUE(E44)-DATEVALUE(D44)))</f>
        <v>1</v>
      </c>
      <c r="G44" s="11" t="n">
        <v>50281</v>
      </c>
      <c r="H44" s="11" t="n">
        <v>58603</v>
      </c>
      <c r="I44" s="11"/>
      <c r="J44" s="11"/>
      <c r="K44" s="11"/>
      <c r="L44" s="12"/>
      <c r="M44" s="13"/>
      <c r="N44" s="14" t="n">
        <f aca="false">IF(G44="","",G44/F44)</f>
        <v>50281</v>
      </c>
      <c r="O44" s="14" t="n">
        <f aca="false">IF(COUNT(H44:K44)=0,"",MIN(H44:K44)/F44)</f>
        <v>58603</v>
      </c>
      <c r="P44" s="14" t="str">
        <f aca="false">IF(L44="","",L44*95/F44)</f>
        <v/>
      </c>
      <c r="Q44" s="15" t="n">
        <f aca="false">IF(OR(N44="",O44=""),"",(IF(AND(N44&gt;7500,O44&gt;7500),O44/(1+IF(O44&lt;=1000,0,IF(O44&lt;=7500,0.05,0.18)))-IF(AND(N44&gt;7500,O44&gt;7500),N44/1.18,N44),(O44-IF(AND(N44&gt;7500,O44&gt;7500),N44/1.18,N44))/(1+IF(O44&lt;=1000,0,IF(O44&lt;=7500,0.05,0.18)))))/(IF(AND(N44&gt;7500,O44&gt;7500),N44/1.18,N44)))</f>
        <v>0.165509834728824</v>
      </c>
      <c r="R44" s="15" t="n">
        <f aca="false">IF(OR(N44="",O44=""),"",((O44-N44)/1.18)/N44)</f>
        <v>0.140262571804088</v>
      </c>
      <c r="S44" s="15" t="str">
        <f aca="false">IF(OR(P44="",O44=""),"",(P44-O44)/O44)</f>
        <v/>
      </c>
      <c r="T44" s="9" t="str">
        <f aca="false">IF(AND(D44="",G44&lt;&gt;""),"no dates - assumed 1 night",IF(Q44="","",IF(Q44&gt;1.5,"check: markup &gt;150%",IF(Q44&lt;0,"below cost",""))))</f>
        <v>no dates - assumed 1 night</v>
      </c>
    </row>
    <row r="45" customFormat="false" ht="15" hidden="false" customHeight="false" outlineLevel="0" collapsed="false">
      <c r="A45" s="9" t="s">
        <v>12</v>
      </c>
      <c r="B45" s="9" t="s">
        <v>166</v>
      </c>
      <c r="C45" s="9" t="s">
        <v>47</v>
      </c>
      <c r="D45" s="16"/>
      <c r="E45" s="16"/>
      <c r="F45" s="9" t="n">
        <f aca="false">IF(OR(D45="",E45=""),1,MAX(1,DATEVALUE(E45)-DATEVALUE(D45)))</f>
        <v>1</v>
      </c>
      <c r="G45" s="11" t="n">
        <v>50281</v>
      </c>
      <c r="H45" s="11" t="n">
        <v>68134</v>
      </c>
      <c r="I45" s="11"/>
      <c r="J45" s="11"/>
      <c r="K45" s="11"/>
      <c r="L45" s="12"/>
      <c r="M45" s="13"/>
      <c r="N45" s="14" t="n">
        <f aca="false">IF(G45="","",G45/F45)</f>
        <v>50281</v>
      </c>
      <c r="O45" s="14" t="n">
        <f aca="false">IF(COUNT(H45:K45)=0,"",MIN(H45:K45)/F45)</f>
        <v>68134</v>
      </c>
      <c r="P45" s="14" t="str">
        <f aca="false">IF(L45="","",L45*95/F45)</f>
        <v/>
      </c>
      <c r="Q45" s="15" t="n">
        <f aca="false">IF(OR(N45="",O45=""),"",(IF(AND(N45&gt;7500,O45&gt;7500),O45/(1+IF(O45&lt;=1000,0,IF(O45&lt;=7500,0.05,0.18)))-IF(AND(N45&gt;7500,O45&gt;7500),N45/1.18,N45),(O45-IF(AND(N45&gt;7500,O45&gt;7500),N45/1.18,N45))/(1+IF(O45&lt;=1000,0,IF(O45&lt;=7500,0.05,0.18)))))/(IF(AND(N45&gt;7500,O45&gt;7500),N45/1.18,N45)))</f>
        <v>0.355064537300372</v>
      </c>
      <c r="R45" s="15" t="n">
        <f aca="false">IF(OR(N45="",O45=""),"",((O45-N45)/1.18)/N45)</f>
        <v>0.300902150254553</v>
      </c>
      <c r="S45" s="15" t="str">
        <f aca="false">IF(OR(P45="",O45=""),"",(P45-O45)/O45)</f>
        <v/>
      </c>
      <c r="T45" s="9" t="str">
        <f aca="false">IF(AND(D45="",G45&lt;&gt;""),"no dates - assumed 1 night",IF(Q45="","",IF(Q45&gt;1.5,"check: markup &gt;150%",IF(Q45&lt;0,"below cost",""))))</f>
        <v>no dates - assumed 1 night</v>
      </c>
    </row>
    <row r="46" customFormat="false" ht="15" hidden="false" customHeight="false" outlineLevel="0" collapsed="false">
      <c r="A46" s="9" t="s">
        <v>12</v>
      </c>
      <c r="B46" s="9" t="s">
        <v>166</v>
      </c>
      <c r="C46" s="9" t="s">
        <v>50</v>
      </c>
      <c r="D46" s="16"/>
      <c r="E46" s="16"/>
      <c r="F46" s="9" t="n">
        <f aca="false">IF(OR(D46="",E46=""),1,MAX(1,DATEVALUE(E46)-DATEVALUE(D46)))</f>
        <v>1</v>
      </c>
      <c r="G46" s="11" t="n">
        <v>63155</v>
      </c>
      <c r="H46" s="11" t="n">
        <v>70152</v>
      </c>
      <c r="I46" s="11"/>
      <c r="J46" s="11"/>
      <c r="K46" s="11"/>
      <c r="L46" s="12"/>
      <c r="M46" s="13"/>
      <c r="N46" s="14" t="n">
        <f aca="false">IF(G46="","",G46/F46)</f>
        <v>63155</v>
      </c>
      <c r="O46" s="14" t="n">
        <f aca="false">IF(COUNT(H46:K46)=0,"",MIN(H46:K46)/F46)</f>
        <v>70152</v>
      </c>
      <c r="P46" s="14" t="str">
        <f aca="false">IF(L46="","",L46*95/F46)</f>
        <v/>
      </c>
      <c r="Q46" s="15" t="n">
        <f aca="false">IF(OR(N46="",O46=""),"",(IF(AND(N46&gt;7500,O46&gt;7500),O46/(1+IF(O46&lt;=1000,0,IF(O46&lt;=7500,0.05,0.18)))-IF(AND(N46&gt;7500,O46&gt;7500),N46/1.18,N46),(O46-IF(AND(N46&gt;7500,O46&gt;7500),N46/1.18,N46))/(1+IF(O46&lt;=1000,0,IF(O46&lt;=7500,0.05,0.18)))))/(IF(AND(N46&gt;7500,O46&gt;7500),N46/1.18,N46)))</f>
        <v>0.110790911250099</v>
      </c>
      <c r="R46" s="15" t="n">
        <f aca="false">IF(OR(N46="",O46=""),"",((O46-N46)/1.18)/N46)</f>
        <v>0.0938906027543212</v>
      </c>
      <c r="S46" s="15" t="str">
        <f aca="false">IF(OR(P46="",O46=""),"",(P46-O46)/O46)</f>
        <v/>
      </c>
      <c r="T46" s="9" t="str">
        <f aca="false">IF(AND(D46="",G46&lt;&gt;""),"no dates - assumed 1 night",IF(Q46="","",IF(Q46&gt;1.5,"check: markup &gt;150%",IF(Q46&lt;0,"below cost",""))))</f>
        <v>no dates - assumed 1 night</v>
      </c>
    </row>
    <row r="47" customFormat="false" ht="15" hidden="false" customHeight="false" outlineLevel="0" collapsed="false">
      <c r="A47" s="9" t="s">
        <v>12</v>
      </c>
      <c r="B47" s="9" t="s">
        <v>166</v>
      </c>
      <c r="C47" s="9" t="s">
        <v>54</v>
      </c>
      <c r="D47" s="16"/>
      <c r="E47" s="16"/>
      <c r="F47" s="9" t="n">
        <f aca="false">IF(OR(D47="",E47=""),1,MAX(1,DATEVALUE(E47)-DATEVALUE(D47)))</f>
        <v>1</v>
      </c>
      <c r="G47" s="11" t="n">
        <v>85421</v>
      </c>
      <c r="H47" s="11" t="n">
        <v>94235</v>
      </c>
      <c r="I47" s="11"/>
      <c r="J47" s="11"/>
      <c r="K47" s="11"/>
      <c r="L47" s="12"/>
      <c r="M47" s="13"/>
      <c r="N47" s="14" t="n">
        <f aca="false">IF(G47="","",G47/F47)</f>
        <v>85421</v>
      </c>
      <c r="O47" s="14" t="n">
        <f aca="false">IF(COUNT(H47:K47)=0,"",MIN(H47:K47)/F47)</f>
        <v>94235</v>
      </c>
      <c r="P47" s="14" t="str">
        <f aca="false">IF(L47="","",L47*95/F47)</f>
        <v/>
      </c>
      <c r="Q47" s="15" t="n">
        <f aca="false">IF(OR(N47="",O47=""),"",(IF(AND(N47&gt;7500,O47&gt;7500),O47/(1+IF(O47&lt;=1000,0,IF(O47&lt;=7500,0.05,0.18)))-IF(AND(N47&gt;7500,O47&gt;7500),N47/1.18,N47),(O47-IF(AND(N47&gt;7500,O47&gt;7500),N47/1.18,N47))/(1+IF(O47&lt;=1000,0,IF(O47&lt;=7500,0.05,0.18)))))/(IF(AND(N47&gt;7500,O47&gt;7500),N47/1.18,N47)))</f>
        <v>0.103183058030227</v>
      </c>
      <c r="R47" s="15" t="n">
        <f aca="false">IF(OR(N47="",O47=""),"",((O47-N47)/1.18)/N47)</f>
        <v>0.0874432695171413</v>
      </c>
      <c r="S47" s="15" t="str">
        <f aca="false">IF(OR(P47="",O47=""),"",(P47-O47)/O47)</f>
        <v/>
      </c>
      <c r="T47" s="9" t="str">
        <f aca="false">IF(AND(D47="",G47&lt;&gt;""),"no dates - assumed 1 night",IF(Q47="","",IF(Q47&gt;1.5,"check: markup &gt;150%",IF(Q47&lt;0,"below cost",""))))</f>
        <v>no dates - assumed 1 night</v>
      </c>
    </row>
    <row r="48" customFormat="false" ht="15" hidden="false" customHeight="false" outlineLevel="0" collapsed="false">
      <c r="A48" s="9" t="s">
        <v>12</v>
      </c>
      <c r="B48" s="9" t="s">
        <v>167</v>
      </c>
      <c r="C48" s="9" t="s">
        <v>44</v>
      </c>
      <c r="D48" s="10" t="s">
        <v>103</v>
      </c>
      <c r="E48" s="10" t="s">
        <v>104</v>
      </c>
      <c r="F48" s="9" t="n">
        <f aca="false">IF(OR(D48="",E48=""),1,MAX(1,DATEVALUE(E48)-DATEVALUE(D48)))</f>
        <v>3</v>
      </c>
      <c r="G48" s="11" t="n">
        <v>35122</v>
      </c>
      <c r="H48" s="11" t="n">
        <v>45872</v>
      </c>
      <c r="I48" s="11"/>
      <c r="J48" s="11"/>
      <c r="K48" s="11"/>
      <c r="L48" s="12"/>
      <c r="M48" s="13"/>
      <c r="N48" s="14" t="n">
        <f aca="false">IF(G48="","",G48/F48)</f>
        <v>11707.3333333333</v>
      </c>
      <c r="O48" s="14" t="n">
        <f aca="false">IF(COUNT(H48:K48)=0,"",MIN(H48:K48)/F48)</f>
        <v>15290.6666666667</v>
      </c>
      <c r="P48" s="14" t="str">
        <f aca="false">IF(L48="","",L48*95/F48)</f>
        <v/>
      </c>
      <c r="Q48" s="15" t="n">
        <f aca="false">IF(OR(N48="",O48=""),"",(IF(AND(N48&gt;7500,O48&gt;7500),O48/(1+IF(O48&lt;=1000,0,IF(O48&lt;=7500,0.05,0.18)))-IF(AND(N48&gt;7500,O48&gt;7500),N48/1.18,N48),(O48-IF(AND(N48&gt;7500,O48&gt;7500),N48/1.18,N48))/(1+IF(O48&lt;=1000,0,IF(O48&lt;=7500,0.05,0.18)))))/(IF(AND(N48&gt;7500,O48&gt;7500),N48/1.18,N48)))</f>
        <v>0.306075963783384</v>
      </c>
      <c r="R48" s="15" t="n">
        <f aca="false">IF(OR(N48="",O48=""),"",((O48-N48)/1.18)/N48)</f>
        <v>0.259386409985918</v>
      </c>
      <c r="S48" s="15" t="str">
        <f aca="false">IF(OR(P48="",O48=""),"",(P48-O48)/O48)</f>
        <v/>
      </c>
      <c r="T48" s="9" t="str">
        <f aca="false">IF(AND(D48="",G48&lt;&gt;""),"no dates - assumed 1 night",IF(Q48="","",IF(Q48&gt;1.5,"check: markup &gt;150%",IF(Q48&lt;0,"below cost",""))))</f>
        <v/>
      </c>
    </row>
    <row r="49" customFormat="false" ht="15" hidden="false" customHeight="false" outlineLevel="0" collapsed="false">
      <c r="A49" s="9" t="s">
        <v>12</v>
      </c>
      <c r="B49" s="9" t="s">
        <v>167</v>
      </c>
      <c r="C49" s="9" t="s">
        <v>47</v>
      </c>
      <c r="D49" s="10" t="s">
        <v>127</v>
      </c>
      <c r="E49" s="10" t="s">
        <v>128</v>
      </c>
      <c r="F49" s="9" t="n">
        <f aca="false">IF(OR(D49="",E49=""),1,MAX(1,DATEVALUE(E49)-DATEVALUE(D49)))</f>
        <v>3</v>
      </c>
      <c r="G49" s="11" t="n">
        <v>41834</v>
      </c>
      <c r="H49" s="11" t="n">
        <v>52930</v>
      </c>
      <c r="I49" s="11"/>
      <c r="J49" s="11"/>
      <c r="K49" s="11"/>
      <c r="L49" s="12"/>
      <c r="M49" s="13"/>
      <c r="N49" s="14" t="n">
        <f aca="false">IF(G49="","",G49/F49)</f>
        <v>13944.6666666667</v>
      </c>
      <c r="O49" s="14" t="n">
        <f aca="false">IF(COUNT(H49:K49)=0,"",MIN(H49:K49)/F49)</f>
        <v>17643.3333333333</v>
      </c>
      <c r="P49" s="14" t="str">
        <f aca="false">IF(L49="","",L49*95/F49)</f>
        <v/>
      </c>
      <c r="Q49" s="15" t="n">
        <f aca="false">IF(OR(N49="",O49=""),"",(IF(AND(N49&gt;7500,O49&gt;7500),O49/(1+IF(O49&lt;=1000,0,IF(O49&lt;=7500,0.05,0.18)))-IF(AND(N49&gt;7500,O49&gt;7500),N49/1.18,N49),(O49-IF(AND(N49&gt;7500,O49&gt;7500),N49/1.18,N49))/(1+IF(O49&lt;=1000,0,IF(O49&lt;=7500,0.05,0.18)))))/(IF(AND(N49&gt;7500,O49&gt;7500),N49/1.18,N49)))</f>
        <v>0.265238800975283</v>
      </c>
      <c r="R49" s="15" t="n">
        <f aca="false">IF(OR(N49="",O49=""),"",((O49-N49)/1.18)/N49)</f>
        <v>0.224778644894308</v>
      </c>
      <c r="S49" s="15" t="str">
        <f aca="false">IF(OR(P49="",O49=""),"",(P49-O49)/O49)</f>
        <v/>
      </c>
      <c r="T49" s="9" t="str">
        <f aca="false">IF(AND(D49="",G49&lt;&gt;""),"no dates - assumed 1 night",IF(Q49="","",IF(Q49&gt;1.5,"check: markup &gt;150%",IF(Q49&lt;0,"below cost",""))))</f>
        <v/>
      </c>
    </row>
    <row r="50" customFormat="false" ht="15" hidden="false" customHeight="false" outlineLevel="0" collapsed="false">
      <c r="A50" s="9" t="s">
        <v>12</v>
      </c>
      <c r="B50" s="9" t="s">
        <v>167</v>
      </c>
      <c r="C50" s="9" t="s">
        <v>50</v>
      </c>
      <c r="D50" s="10" t="s">
        <v>48</v>
      </c>
      <c r="E50" s="10" t="s">
        <v>49</v>
      </c>
      <c r="F50" s="9" t="n">
        <f aca="false">IF(OR(D50="",E50=""),1,MAX(1,DATEVALUE(E50)-DATEVALUE(D50)))</f>
        <v>3</v>
      </c>
      <c r="G50" s="11" t="n">
        <v>45298</v>
      </c>
      <c r="H50" s="11" t="n">
        <v>52575</v>
      </c>
      <c r="I50" s="11"/>
      <c r="J50" s="11"/>
      <c r="K50" s="11"/>
      <c r="L50" s="12"/>
      <c r="M50" s="13"/>
      <c r="N50" s="14" t="n">
        <f aca="false">IF(G50="","",G50/F50)</f>
        <v>15099.3333333333</v>
      </c>
      <c r="O50" s="14" t="n">
        <f aca="false">IF(COUNT(H50:K50)=0,"",MIN(H50:K50)/F50)</f>
        <v>17525</v>
      </c>
      <c r="P50" s="14" t="str">
        <f aca="false">IF(L50="","",L50*95/F50)</f>
        <v/>
      </c>
      <c r="Q50" s="15" t="n">
        <f aca="false">IF(OR(N50="",O50=""),"",(IF(AND(N50&gt;7500,O50&gt;7500),O50/(1+IF(O50&lt;=1000,0,IF(O50&lt;=7500,0.05,0.18)))-IF(AND(N50&gt;7500,O50&gt;7500),N50/1.18,N50),(O50-IF(AND(N50&gt;7500,O50&gt;7500),N50/1.18,N50))/(1+IF(O50&lt;=1000,0,IF(O50&lt;=7500,0.05,0.18)))))/(IF(AND(N50&gt;7500,O50&gt;7500),N50/1.18,N50)))</f>
        <v>0.160647269195108</v>
      </c>
      <c r="R50" s="15" t="n">
        <f aca="false">IF(OR(N50="",O50=""),"",((O50-N50)/1.18)/N50)</f>
        <v>0.136141753555176</v>
      </c>
      <c r="S50" s="15" t="str">
        <f aca="false">IF(OR(P50="",O50=""),"",(P50-O50)/O50)</f>
        <v/>
      </c>
      <c r="T50" s="9" t="str">
        <f aca="false">IF(AND(D50="",G50&lt;&gt;""),"no dates - assumed 1 night",IF(Q50="","",IF(Q50&gt;1.5,"check: markup &gt;150%",IF(Q50&lt;0,"below cost",""))))</f>
        <v/>
      </c>
    </row>
    <row r="51" customFormat="false" ht="15" hidden="false" customHeight="false" outlineLevel="0" collapsed="false">
      <c r="A51" s="9" t="s">
        <v>12</v>
      </c>
      <c r="B51" s="9" t="s">
        <v>167</v>
      </c>
      <c r="C51" s="9" t="s">
        <v>54</v>
      </c>
      <c r="D51" s="10" t="s">
        <v>51</v>
      </c>
      <c r="E51" s="10" t="s">
        <v>52</v>
      </c>
      <c r="F51" s="9" t="n">
        <f aca="false">IF(OR(D51="",E51=""),1,MAX(1,DATEVALUE(E51)-DATEVALUE(D51)))</f>
        <v>3</v>
      </c>
      <c r="G51" s="11" t="n">
        <v>45160</v>
      </c>
      <c r="H51" s="11" t="n">
        <v>105533</v>
      </c>
      <c r="I51" s="11"/>
      <c r="J51" s="11"/>
      <c r="K51" s="11"/>
      <c r="L51" s="12"/>
      <c r="M51" s="13"/>
      <c r="N51" s="14" t="n">
        <f aca="false">IF(G51="","",G51/F51)</f>
        <v>15053.3333333333</v>
      </c>
      <c r="O51" s="14" t="n">
        <f aca="false">IF(COUNT(H51:K51)=0,"",MIN(H51:K51)/F51)</f>
        <v>35177.6666666667</v>
      </c>
      <c r="P51" s="14" t="str">
        <f aca="false">IF(L51="","",L51*95/F51)</f>
        <v/>
      </c>
      <c r="Q51" s="15" t="n">
        <f aca="false">IF(OR(N51="",O51=""),"",(IF(AND(N51&gt;7500,O51&gt;7500),O51/(1+IF(O51&lt;=1000,0,IF(O51&lt;=7500,0.05,0.18)))-IF(AND(N51&gt;7500,O51&gt;7500),N51/1.18,N51),(O51-IF(AND(N51&gt;7500,O51&gt;7500),N51/1.18,N51))/(1+IF(O51&lt;=1000,0,IF(O51&lt;=7500,0.05,0.18)))))/(IF(AND(N51&gt;7500,O51&gt;7500),N51/1.18,N51)))</f>
        <v>1.3368689105403</v>
      </c>
      <c r="R51" s="15" t="n">
        <f aca="false">IF(OR(N51="",O51=""),"",((O51-N51)/1.18)/N51)</f>
        <v>1.13293975469517</v>
      </c>
      <c r="S51" s="15" t="str">
        <f aca="false">IF(OR(P51="",O51=""),"",(P51-O51)/O51)</f>
        <v/>
      </c>
      <c r="T51" s="9" t="str">
        <f aca="false">IF(AND(D51="",G51&lt;&gt;""),"no dates - assumed 1 night",IF(Q51="","",IF(Q51&gt;1.5,"check: markup &gt;150%",IF(Q51&lt;0,"below cost",""))))</f>
        <v/>
      </c>
    </row>
    <row r="52" customFormat="false" ht="15" hidden="false" customHeight="false" outlineLevel="0" collapsed="false">
      <c r="A52" s="9" t="s">
        <v>12</v>
      </c>
      <c r="B52" s="9" t="s">
        <v>168</v>
      </c>
      <c r="C52" s="9" t="s">
        <v>44</v>
      </c>
      <c r="D52" s="16"/>
      <c r="E52" s="16"/>
      <c r="F52" s="9" t="n">
        <f aca="false">IF(OR(D52="",E52=""),1,MAX(1,DATEVALUE(E52)-DATEVALUE(D52)))</f>
        <v>1</v>
      </c>
      <c r="G52" s="11" t="n">
        <v>57494</v>
      </c>
      <c r="H52" s="11" t="n">
        <v>75111</v>
      </c>
      <c r="I52" s="11"/>
      <c r="J52" s="11"/>
      <c r="K52" s="11"/>
      <c r="L52" s="12"/>
      <c r="M52" s="13"/>
      <c r="N52" s="14" t="n">
        <f aca="false">IF(G52="","",G52/F52)</f>
        <v>57494</v>
      </c>
      <c r="O52" s="14" t="n">
        <f aca="false">IF(COUNT(H52:K52)=0,"",MIN(H52:K52)/F52)</f>
        <v>75111</v>
      </c>
      <c r="P52" s="14" t="str">
        <f aca="false">IF(L52="","",L52*95/F52)</f>
        <v/>
      </c>
      <c r="Q52" s="15" t="n">
        <f aca="false">IF(OR(N52="",O52=""),"",(IF(AND(N52&gt;7500,O52&gt;7500),O52/(1+IF(O52&lt;=1000,0,IF(O52&lt;=7500,0.05,0.18)))-IF(AND(N52&gt;7500,O52&gt;7500),N52/1.18,N52),(O52-IF(AND(N52&gt;7500,O52&gt;7500),N52/1.18,N52))/(1+IF(O52&lt;=1000,0,IF(O52&lt;=7500,0.05,0.18)))))/(IF(AND(N52&gt;7500,O52&gt;7500),N52/1.18,N52)))</f>
        <v>0.306414582391206</v>
      </c>
      <c r="R52" s="15" t="n">
        <f aca="false">IF(OR(N52="",O52=""),"",((O52-N52)/1.18)/N52)</f>
        <v>0.259673374907802</v>
      </c>
      <c r="S52" s="15" t="str">
        <f aca="false">IF(OR(P52="",O52=""),"",(P52-O52)/O52)</f>
        <v/>
      </c>
      <c r="T52" s="9" t="str">
        <f aca="false">IF(AND(D52="",G52&lt;&gt;""),"no dates - assumed 1 night",IF(Q52="","",IF(Q52&gt;1.5,"check: markup &gt;150%",IF(Q52&lt;0,"below cost",""))))</f>
        <v>no dates - assumed 1 night</v>
      </c>
    </row>
    <row r="53" customFormat="false" ht="15" hidden="false" customHeight="false" outlineLevel="0" collapsed="false">
      <c r="A53" s="9" t="s">
        <v>12</v>
      </c>
      <c r="B53" s="9" t="s">
        <v>168</v>
      </c>
      <c r="C53" s="9" t="s">
        <v>47</v>
      </c>
      <c r="D53" s="16"/>
      <c r="E53" s="16"/>
      <c r="F53" s="9" t="n">
        <f aca="false">IF(OR(D53="",E53=""),1,MAX(1,DATEVALUE(E53)-DATEVALUE(D53)))</f>
        <v>1</v>
      </c>
      <c r="G53" s="11" t="n">
        <v>82019</v>
      </c>
      <c r="H53" s="11" t="n">
        <v>89085</v>
      </c>
      <c r="I53" s="11"/>
      <c r="J53" s="11"/>
      <c r="K53" s="11"/>
      <c r="L53" s="12"/>
      <c r="M53" s="13"/>
      <c r="N53" s="14" t="n">
        <f aca="false">IF(G53="","",G53/F53)</f>
        <v>82019</v>
      </c>
      <c r="O53" s="14" t="n">
        <f aca="false">IF(COUNT(H53:K53)=0,"",MIN(H53:K53)/F53)</f>
        <v>89085</v>
      </c>
      <c r="P53" s="14" t="str">
        <f aca="false">IF(L53="","",L53*95/F53)</f>
        <v/>
      </c>
      <c r="Q53" s="15" t="n">
        <f aca="false">IF(OR(N53="",O53=""),"",(IF(AND(N53&gt;7500,O53&gt;7500),O53/(1+IF(O53&lt;=1000,0,IF(O53&lt;=7500,0.05,0.18)))-IF(AND(N53&gt;7500,O53&gt;7500),N53/1.18,N53),(O53-IF(AND(N53&gt;7500,O53&gt;7500),N53/1.18,N53))/(1+IF(O53&lt;=1000,0,IF(O53&lt;=7500,0.05,0.18)))))/(IF(AND(N53&gt;7500,O53&gt;7500),N53/1.18,N53)))</f>
        <v>0.0861507699435497</v>
      </c>
      <c r="R53" s="15" t="n">
        <f aca="false">IF(OR(N53="",O53=""),"",((O53-N53)/1.18)/N53)</f>
        <v>0.0730091270708048</v>
      </c>
      <c r="S53" s="15" t="str">
        <f aca="false">IF(OR(P53="",O53=""),"",(P53-O53)/O53)</f>
        <v/>
      </c>
      <c r="T53" s="9" t="str">
        <f aca="false">IF(AND(D53="",G53&lt;&gt;""),"no dates - assumed 1 night",IF(Q53="","",IF(Q53&gt;1.5,"check: markup &gt;150%",IF(Q53&lt;0,"below cost",""))))</f>
        <v>no dates - assumed 1 night</v>
      </c>
    </row>
    <row r="54" customFormat="false" ht="15" hidden="false" customHeight="false" outlineLevel="0" collapsed="false">
      <c r="A54" s="9" t="s">
        <v>12</v>
      </c>
      <c r="B54" s="9" t="s">
        <v>168</v>
      </c>
      <c r="C54" s="9" t="s">
        <v>50</v>
      </c>
      <c r="D54" s="16"/>
      <c r="E54" s="16"/>
      <c r="F54" s="9" t="n">
        <f aca="false">IF(OR(D54="",E54=""),1,MAX(1,DATEVALUE(E54)-DATEVALUE(D54)))</f>
        <v>1</v>
      </c>
      <c r="G54" s="11" t="n">
        <v>70588</v>
      </c>
      <c r="H54" s="11" t="n">
        <v>76858</v>
      </c>
      <c r="I54" s="11"/>
      <c r="J54" s="11"/>
      <c r="K54" s="11"/>
      <c r="L54" s="12"/>
      <c r="M54" s="13"/>
      <c r="N54" s="14" t="n">
        <f aca="false">IF(G54="","",G54/F54)</f>
        <v>70588</v>
      </c>
      <c r="O54" s="14" t="n">
        <f aca="false">IF(COUNT(H54:K54)=0,"",MIN(H54:K54)/F54)</f>
        <v>76858</v>
      </c>
      <c r="P54" s="14" t="str">
        <f aca="false">IF(L54="","",L54*95/F54)</f>
        <v/>
      </c>
      <c r="Q54" s="15" t="n">
        <f aca="false">IF(OR(N54="",O54=""),"",(IF(AND(N54&gt;7500,O54&gt;7500),O54/(1+IF(O54&lt;=1000,0,IF(O54&lt;=7500,0.05,0.18)))-IF(AND(N54&gt;7500,O54&gt;7500),N54/1.18,N54),(O54-IF(AND(N54&gt;7500,O54&gt;7500),N54/1.18,N54))/(1+IF(O54&lt;=1000,0,IF(O54&lt;=7500,0.05,0.18)))))/(IF(AND(N54&gt;7500,O54&gt;7500),N54/1.18,N54)))</f>
        <v>0.0888252960843203</v>
      </c>
      <c r="R54" s="15" t="n">
        <f aca="false">IF(OR(N54="",O54=""),"",((O54-N54)/1.18)/N54)</f>
        <v>0.0752756746477291</v>
      </c>
      <c r="S54" s="15" t="str">
        <f aca="false">IF(OR(P54="",O54=""),"",(P54-O54)/O54)</f>
        <v/>
      </c>
      <c r="T54" s="9" t="str">
        <f aca="false">IF(AND(D54="",G54&lt;&gt;""),"no dates - assumed 1 night",IF(Q54="","",IF(Q54&gt;1.5,"check: markup &gt;150%",IF(Q54&lt;0,"below cost",""))))</f>
        <v>no dates - assumed 1 night</v>
      </c>
    </row>
    <row r="55" customFormat="false" ht="15" hidden="false" customHeight="false" outlineLevel="0" collapsed="false">
      <c r="A55" s="9" t="s">
        <v>12</v>
      </c>
      <c r="B55" s="9" t="s">
        <v>168</v>
      </c>
      <c r="C55" s="9" t="s">
        <v>54</v>
      </c>
      <c r="D55" s="16"/>
      <c r="E55" s="16"/>
      <c r="F55" s="9" t="n">
        <f aca="false">IF(OR(D55="",E55=""),1,MAX(1,DATEVALUE(E55)-DATEVALUE(D55)))</f>
        <v>1</v>
      </c>
      <c r="G55" s="11" t="n">
        <v>117447</v>
      </c>
      <c r="H55" s="11" t="n">
        <v>127077</v>
      </c>
      <c r="I55" s="11"/>
      <c r="J55" s="11"/>
      <c r="K55" s="11"/>
      <c r="L55" s="12"/>
      <c r="M55" s="13"/>
      <c r="N55" s="14" t="n">
        <f aca="false">IF(G55="","",G55/F55)</f>
        <v>117447</v>
      </c>
      <c r="O55" s="14" t="n">
        <f aca="false">IF(COUNT(H55:K55)=0,"",MIN(H55:K55)/F55)</f>
        <v>127077</v>
      </c>
      <c r="P55" s="14" t="str">
        <f aca="false">IF(L55="","",L55*95/F55)</f>
        <v/>
      </c>
      <c r="Q55" s="15" t="n">
        <f aca="false">IF(OR(N55="",O55=""),"",(IF(AND(N55&gt;7500,O55&gt;7500),O55/(1+IF(O55&lt;=1000,0,IF(O55&lt;=7500,0.05,0.18)))-IF(AND(N55&gt;7500,O55&gt;7500),N55/1.18,N55),(O55-IF(AND(N55&gt;7500,O55&gt;7500),N55/1.18,N55))/(1+IF(O55&lt;=1000,0,IF(O55&lt;=7500,0.05,0.18)))))/(IF(AND(N55&gt;7500,O55&gt;7500),N55/1.18,N55)))</f>
        <v>0.0819944315308182</v>
      </c>
      <c r="R55" s="15" t="n">
        <f aca="false">IF(OR(N55="",O55=""),"",((O55-N55)/1.18)/N55)</f>
        <v>0.0694868063820493</v>
      </c>
      <c r="S55" s="15" t="str">
        <f aca="false">IF(OR(P55="",O55=""),"",(P55-O55)/O55)</f>
        <v/>
      </c>
      <c r="T55" s="9" t="str">
        <f aca="false">IF(AND(D55="",G55&lt;&gt;""),"no dates - assumed 1 night",IF(Q55="","",IF(Q55&gt;1.5,"check: markup &gt;150%",IF(Q55&lt;0,"below cost",""))))</f>
        <v>no dates - assumed 1 night</v>
      </c>
    </row>
    <row r="56" customFormat="false" ht="15" hidden="false" customHeight="false" outlineLevel="0" collapsed="false">
      <c r="A56" s="9" t="s">
        <v>12</v>
      </c>
      <c r="B56" s="9" t="s">
        <v>169</v>
      </c>
      <c r="C56" s="9" t="s">
        <v>44</v>
      </c>
      <c r="D56" s="10" t="s">
        <v>103</v>
      </c>
      <c r="E56" s="10" t="s">
        <v>104</v>
      </c>
      <c r="F56" s="9" t="n">
        <f aca="false">IF(OR(D56="",E56=""),1,MAX(1,DATEVALUE(E56)-DATEVALUE(D56)))</f>
        <v>3</v>
      </c>
      <c r="G56" s="11" t="n">
        <v>22521</v>
      </c>
      <c r="H56" s="11" t="n">
        <v>27002</v>
      </c>
      <c r="I56" s="11"/>
      <c r="J56" s="11"/>
      <c r="K56" s="11"/>
      <c r="L56" s="12"/>
      <c r="M56" s="13"/>
      <c r="N56" s="14" t="n">
        <f aca="false">IF(G56="","",G56/F56)</f>
        <v>7507</v>
      </c>
      <c r="O56" s="14" t="n">
        <f aca="false">IF(COUNT(H56:K56)=0,"",MIN(H56:K56)/F56)</f>
        <v>9000.66666666667</v>
      </c>
      <c r="P56" s="14" t="str">
        <f aca="false">IF(L56="","",L56*95/F56)</f>
        <v/>
      </c>
      <c r="Q56" s="15" t="n">
        <f aca="false">IF(OR(N56="",O56=""),"",(IF(AND(N56&gt;7500,O56&gt;7500),O56/(1+IF(O56&lt;=1000,0,IF(O56&lt;=7500,0.05,0.18)))-IF(AND(N56&gt;7500,O56&gt;7500),N56/1.18,N56),(O56-IF(AND(N56&gt;7500,O56&gt;7500),N56/1.18,N56))/(1+IF(O56&lt;=1000,0,IF(O56&lt;=7500,0.05,0.18)))))/(IF(AND(N56&gt;7500,O56&gt;7500),N56/1.18,N56)))</f>
        <v>0.198969850361884</v>
      </c>
      <c r="R56" s="15" t="n">
        <f aca="false">IF(OR(N56="",O56=""),"",((O56-N56)/1.18)/N56)</f>
        <v>0.168618517255834</v>
      </c>
      <c r="S56" s="15" t="str">
        <f aca="false">IF(OR(P56="",O56=""),"",(P56-O56)/O56)</f>
        <v/>
      </c>
      <c r="T56" s="9" t="str">
        <f aca="false">IF(AND(D56="",G56&lt;&gt;""),"no dates - assumed 1 night",IF(Q56="","",IF(Q56&gt;1.5,"check: markup &gt;150%",IF(Q56&lt;0,"below cost",""))))</f>
        <v/>
      </c>
    </row>
    <row r="57" customFormat="false" ht="15" hidden="false" customHeight="false" outlineLevel="0" collapsed="false">
      <c r="A57" s="9" t="s">
        <v>12</v>
      </c>
      <c r="B57" s="9" t="s">
        <v>169</v>
      </c>
      <c r="C57" s="9" t="s">
        <v>47</v>
      </c>
      <c r="D57" s="10" t="s">
        <v>127</v>
      </c>
      <c r="E57" s="10" t="s">
        <v>128</v>
      </c>
      <c r="F57" s="9" t="n">
        <f aca="false">IF(OR(D57="",E57=""),1,MAX(1,DATEVALUE(E57)-DATEVALUE(D57)))</f>
        <v>3</v>
      </c>
      <c r="G57" s="11" t="n">
        <v>21887</v>
      </c>
      <c r="H57" s="11" t="n">
        <v>27884</v>
      </c>
      <c r="I57" s="11"/>
      <c r="J57" s="11"/>
      <c r="K57" s="11"/>
      <c r="L57" s="12"/>
      <c r="M57" s="13"/>
      <c r="N57" s="14" t="n">
        <f aca="false">IF(G57="","",G57/F57)</f>
        <v>7295.66666666667</v>
      </c>
      <c r="O57" s="14" t="n">
        <f aca="false">IF(COUNT(H57:K57)=0,"",MIN(H57:K57)/F57)</f>
        <v>9294.66666666667</v>
      </c>
      <c r="P57" s="14" t="str">
        <f aca="false">IF(L57="","",L57*95/F57)</f>
        <v/>
      </c>
      <c r="Q57" s="15" t="n">
        <f aca="false">IF(OR(N57="",O57=""),"",(IF(AND(N57&gt;7500,O57&gt;7500),O57/(1+IF(O57&lt;=1000,0,IF(O57&lt;=7500,0.05,0.18)))-IF(AND(N57&gt;7500,O57&gt;7500),N57/1.18,N57),(O57-IF(AND(N57&gt;7500,O57&gt;7500),N57/1.18,N57))/(1+IF(O57&lt;=1000,0,IF(O57&lt;=7500,0.05,0.18)))))/(IF(AND(N57&gt;7500,O57&gt;7500),N57/1.18,N57)))</f>
        <v>0.232201918482684</v>
      </c>
      <c r="R57" s="15" t="n">
        <f aca="false">IF(OR(N57="",O57=""),"",((O57-N57)/1.18)/N57)</f>
        <v>0.232201918482684</v>
      </c>
      <c r="S57" s="15" t="str">
        <f aca="false">IF(OR(P57="",O57=""),"",(P57-O57)/O57)</f>
        <v/>
      </c>
      <c r="T57" s="9" t="str">
        <f aca="false">IF(AND(D57="",G57&lt;&gt;""),"no dates - assumed 1 night",IF(Q57="","",IF(Q57&gt;1.5,"check: markup &gt;150%",IF(Q57&lt;0,"below cost",""))))</f>
        <v/>
      </c>
    </row>
    <row r="58" customFormat="false" ht="15" hidden="false" customHeight="false" outlineLevel="0" collapsed="false">
      <c r="A58" s="9" t="s">
        <v>12</v>
      </c>
      <c r="B58" s="9" t="s">
        <v>169</v>
      </c>
      <c r="C58" s="9" t="s">
        <v>50</v>
      </c>
      <c r="D58" s="10" t="s">
        <v>48</v>
      </c>
      <c r="E58" s="10" t="s">
        <v>49</v>
      </c>
      <c r="F58" s="9" t="n">
        <f aca="false">IF(OR(D58="",E58=""),1,MAX(1,DATEVALUE(E58)-DATEVALUE(D58)))</f>
        <v>3</v>
      </c>
      <c r="G58" s="11" t="n">
        <v>24743</v>
      </c>
      <c r="H58" s="11" t="n">
        <v>27391</v>
      </c>
      <c r="I58" s="11"/>
      <c r="J58" s="11"/>
      <c r="K58" s="11"/>
      <c r="L58" s="12"/>
      <c r="M58" s="13"/>
      <c r="N58" s="14" t="n">
        <f aca="false">IF(G58="","",G58/F58)</f>
        <v>8247.66666666667</v>
      </c>
      <c r="O58" s="14" t="n">
        <f aca="false">IF(COUNT(H58:K58)=0,"",MIN(H58:K58)/F58)</f>
        <v>9130.33333333333</v>
      </c>
      <c r="P58" s="14" t="str">
        <f aca="false">IF(L58="","",L58*95/F58)</f>
        <v/>
      </c>
      <c r="Q58" s="15" t="n">
        <f aca="false">IF(OR(N58="",O58=""),"",(IF(AND(N58&gt;7500,O58&gt;7500),O58/(1+IF(O58&lt;=1000,0,IF(O58&lt;=7500,0.05,0.18)))-IF(AND(N58&gt;7500,O58&gt;7500),N58/1.18,N58),(O58-IF(AND(N58&gt;7500,O58&gt;7500),N58/1.18,N58))/(1+IF(O58&lt;=1000,0,IF(O58&lt;=7500,0.05,0.18)))))/(IF(AND(N58&gt;7500,O58&gt;7500),N58/1.18,N58)))</f>
        <v>0.10702016732005</v>
      </c>
      <c r="R58" s="15" t="n">
        <f aca="false">IF(OR(N58="",O58=""),"",((O58-N58)/1.18)/N58)</f>
        <v>0.0906950570508901</v>
      </c>
      <c r="S58" s="15" t="str">
        <f aca="false">IF(OR(P58="",O58=""),"",(P58-O58)/O58)</f>
        <v/>
      </c>
      <c r="T58" s="9" t="str">
        <f aca="false">IF(AND(D58="",G58&lt;&gt;""),"no dates - assumed 1 night",IF(Q58="","",IF(Q58&gt;1.5,"check: markup &gt;150%",IF(Q58&lt;0,"below cost",""))))</f>
        <v/>
      </c>
    </row>
    <row r="59" customFormat="false" ht="15" hidden="false" customHeight="false" outlineLevel="0" collapsed="false">
      <c r="A59" s="9" t="s">
        <v>12</v>
      </c>
      <c r="B59" s="9" t="s">
        <v>169</v>
      </c>
      <c r="C59" s="9" t="s">
        <v>54</v>
      </c>
      <c r="D59" s="10" t="s">
        <v>170</v>
      </c>
      <c r="E59" s="10" t="s">
        <v>171</v>
      </c>
      <c r="F59" s="9" t="n">
        <f aca="false">IF(OR(D59="",E59=""),1,MAX(1,DATEVALUE(E59)-DATEVALUE(D59)))</f>
        <v>3</v>
      </c>
      <c r="G59" s="11" t="n">
        <v>22268</v>
      </c>
      <c r="H59" s="11" t="n">
        <v>28100</v>
      </c>
      <c r="I59" s="11"/>
      <c r="J59" s="11"/>
      <c r="K59" s="11"/>
      <c r="L59" s="12"/>
      <c r="M59" s="13"/>
      <c r="N59" s="14" t="n">
        <f aca="false">IF(G59="","",G59/F59)</f>
        <v>7422.66666666667</v>
      </c>
      <c r="O59" s="14" t="n">
        <f aca="false">IF(COUNT(H59:K59)=0,"",MIN(H59:K59)/F59)</f>
        <v>9366.66666666667</v>
      </c>
      <c r="P59" s="14" t="str">
        <f aca="false">IF(L59="","",L59*95/F59)</f>
        <v/>
      </c>
      <c r="Q59" s="15" t="n">
        <f aca="false">IF(OR(N59="",O59=""),"",(IF(AND(N59&gt;7500,O59&gt;7500),O59/(1+IF(O59&lt;=1000,0,IF(O59&lt;=7500,0.05,0.18)))-IF(AND(N59&gt;7500,O59&gt;7500),N59/1.18,N59),(O59-IF(AND(N59&gt;7500,O59&gt;7500),N59/1.18,N59))/(1+IF(O59&lt;=1000,0,IF(O59&lt;=7500,0.05,0.18)))))/(IF(AND(N59&gt;7500,O59&gt;7500),N59/1.18,N59)))</f>
        <v>0.221949563560083</v>
      </c>
      <c r="R59" s="15" t="n">
        <f aca="false">IF(OR(N59="",O59=""),"",((O59-N59)/1.18)/N59)</f>
        <v>0.221949563560083</v>
      </c>
      <c r="S59" s="15" t="str">
        <f aca="false">IF(OR(P59="",O59=""),"",(P59-O59)/O59)</f>
        <v/>
      </c>
      <c r="T59" s="9" t="str">
        <f aca="false">IF(AND(D59="",G59&lt;&gt;""),"no dates - assumed 1 night",IF(Q59="","",IF(Q59&gt;1.5,"check: markup &gt;150%",IF(Q59&lt;0,"below cost",""))))</f>
        <v/>
      </c>
    </row>
    <row r="60" customFormat="false" ht="15" hidden="false" customHeight="false" outlineLevel="0" collapsed="false">
      <c r="A60" s="9" t="s">
        <v>12</v>
      </c>
      <c r="B60" s="9" t="s">
        <v>172</v>
      </c>
      <c r="C60" s="9" t="s">
        <v>44</v>
      </c>
      <c r="D60" s="16"/>
      <c r="E60" s="16"/>
      <c r="F60" s="9" t="n">
        <f aca="false">IF(OR(D60="",E60=""),1,MAX(1,DATEVALUE(E60)-DATEVALUE(D60)))</f>
        <v>1</v>
      </c>
      <c r="G60" s="11" t="n">
        <v>35989</v>
      </c>
      <c r="H60" s="11" t="n">
        <v>40567</v>
      </c>
      <c r="I60" s="11"/>
      <c r="J60" s="11"/>
      <c r="K60" s="11"/>
      <c r="L60" s="12"/>
      <c r="M60" s="13"/>
      <c r="N60" s="14" t="n">
        <f aca="false">IF(G60="","",G60/F60)</f>
        <v>35989</v>
      </c>
      <c r="O60" s="14" t="n">
        <f aca="false">IF(COUNT(H60:K60)=0,"",MIN(H60:K60)/F60)</f>
        <v>40567</v>
      </c>
      <c r="P60" s="14" t="str">
        <f aca="false">IF(L60="","",L60*95/F60)</f>
        <v/>
      </c>
      <c r="Q60" s="15" t="n">
        <f aca="false">IF(OR(N60="",O60=""),"",(IF(AND(N60&gt;7500,O60&gt;7500),O60/(1+IF(O60&lt;=1000,0,IF(O60&lt;=7500,0.05,0.18)))-IF(AND(N60&gt;7500,O60&gt;7500),N60/1.18,N60),(O60-IF(AND(N60&gt;7500,O60&gt;7500),N60/1.18,N60))/(1+IF(O60&lt;=1000,0,IF(O60&lt;=7500,0.05,0.18)))))/(IF(AND(N60&gt;7500,O60&gt;7500),N60/1.18,N60)))</f>
        <v>0.127205535024591</v>
      </c>
      <c r="R60" s="15" t="n">
        <f aca="false">IF(OR(N60="",O60=""),"",((O60-N60)/1.18)/N60)</f>
        <v>0.107801300868297</v>
      </c>
      <c r="S60" s="15" t="str">
        <f aca="false">IF(OR(P60="",O60=""),"",(P60-O60)/O60)</f>
        <v/>
      </c>
      <c r="T60" s="9" t="str">
        <f aca="false">IF(AND(D60="",G60&lt;&gt;""),"no dates - assumed 1 night",IF(Q60="","",IF(Q60&gt;1.5,"check: markup &gt;150%",IF(Q60&lt;0,"below cost",""))))</f>
        <v>no dates - assumed 1 night</v>
      </c>
    </row>
    <row r="61" customFormat="false" ht="15" hidden="false" customHeight="false" outlineLevel="0" collapsed="false">
      <c r="A61" s="9" t="s">
        <v>12</v>
      </c>
      <c r="B61" s="9" t="s">
        <v>172</v>
      </c>
      <c r="C61" s="9" t="s">
        <v>47</v>
      </c>
      <c r="D61" s="16"/>
      <c r="E61" s="16"/>
      <c r="F61" s="9" t="n">
        <f aca="false">IF(OR(D61="",E61=""),1,MAX(1,DATEVALUE(E61)-DATEVALUE(D61)))</f>
        <v>1</v>
      </c>
      <c r="G61" s="11" t="n">
        <v>37990</v>
      </c>
      <c r="H61" s="11" t="n">
        <v>42725</v>
      </c>
      <c r="I61" s="11"/>
      <c r="J61" s="11"/>
      <c r="K61" s="11"/>
      <c r="L61" s="12"/>
      <c r="M61" s="13"/>
      <c r="N61" s="14" t="n">
        <f aca="false">IF(G61="","",G61/F61)</f>
        <v>37990</v>
      </c>
      <c r="O61" s="14" t="n">
        <f aca="false">IF(COUNT(H61:K61)=0,"",MIN(H61:K61)/F61)</f>
        <v>42725</v>
      </c>
      <c r="P61" s="14" t="str">
        <f aca="false">IF(L61="","",L61*95/F61)</f>
        <v/>
      </c>
      <c r="Q61" s="15" t="n">
        <f aca="false">IF(OR(N61="",O61=""),"",(IF(AND(N61&gt;7500,O61&gt;7500),O61/(1+IF(O61&lt;=1000,0,IF(O61&lt;=7500,0.05,0.18)))-IF(AND(N61&gt;7500,O61&gt;7500),N61/1.18,N61),(O61-IF(AND(N61&gt;7500,O61&gt;7500),N61/1.18,N61))/(1+IF(O61&lt;=1000,0,IF(O61&lt;=7500,0.05,0.18)))))/(IF(AND(N61&gt;7500,O61&gt;7500),N61/1.18,N61)))</f>
        <v>0.124638062648065</v>
      </c>
      <c r="R61" s="15" t="n">
        <f aca="false">IF(OR(N61="",O61=""),"",((O61-N61)/1.18)/N61)</f>
        <v>0.105625476820394</v>
      </c>
      <c r="S61" s="15" t="str">
        <f aca="false">IF(OR(P61="",O61=""),"",(P61-O61)/O61)</f>
        <v/>
      </c>
      <c r="T61" s="9" t="str">
        <f aca="false">IF(AND(D61="",G61&lt;&gt;""),"no dates - assumed 1 night",IF(Q61="","",IF(Q61&gt;1.5,"check: markup &gt;150%",IF(Q61&lt;0,"below cost",""))))</f>
        <v>no dates - assumed 1 night</v>
      </c>
    </row>
    <row r="62" customFormat="false" ht="15" hidden="false" customHeight="false" outlineLevel="0" collapsed="false">
      <c r="A62" s="9" t="s">
        <v>12</v>
      </c>
      <c r="B62" s="9" t="s">
        <v>172</v>
      </c>
      <c r="C62" s="9" t="s">
        <v>50</v>
      </c>
      <c r="D62" s="16"/>
      <c r="E62" s="16"/>
      <c r="F62" s="9" t="n">
        <f aca="false">IF(OR(D62="",E62=""),1,MAX(1,DATEVALUE(E62)-DATEVALUE(D62)))</f>
        <v>1</v>
      </c>
      <c r="G62" s="11" t="n">
        <v>37811</v>
      </c>
      <c r="H62" s="11" t="n">
        <v>42725</v>
      </c>
      <c r="I62" s="11"/>
      <c r="J62" s="11"/>
      <c r="K62" s="11"/>
      <c r="L62" s="12"/>
      <c r="M62" s="13"/>
      <c r="N62" s="14" t="n">
        <f aca="false">IF(G62="","",G62/F62)</f>
        <v>37811</v>
      </c>
      <c r="O62" s="14" t="n">
        <f aca="false">IF(COUNT(H62:K62)=0,"",MIN(H62:K62)/F62)</f>
        <v>42725</v>
      </c>
      <c r="P62" s="14" t="str">
        <f aca="false">IF(L62="","",L62*95/F62)</f>
        <v/>
      </c>
      <c r="Q62" s="15" t="n">
        <f aca="false">IF(OR(N62="",O62=""),"",(IF(AND(N62&gt;7500,O62&gt;7500),O62/(1+IF(O62&lt;=1000,0,IF(O62&lt;=7500,0.05,0.18)))-IF(AND(N62&gt;7500,O62&gt;7500),N62/1.18,N62),(O62-IF(AND(N62&gt;7500,O62&gt;7500),N62/1.18,N62))/(1+IF(O62&lt;=1000,0,IF(O62&lt;=7500,0.05,0.18)))))/(IF(AND(N62&gt;7500,O62&gt;7500),N62/1.18,N62)))</f>
        <v>0.129962180317897</v>
      </c>
      <c r="R62" s="15" t="n">
        <f aca="false">IF(OR(N62="",O62=""),"",((O62-N62)/1.18)/N62)</f>
        <v>0.11013744094737</v>
      </c>
      <c r="S62" s="15" t="str">
        <f aca="false">IF(OR(P62="",O62=""),"",(P62-O62)/O62)</f>
        <v/>
      </c>
      <c r="T62" s="9" t="str">
        <f aca="false">IF(AND(D62="",G62&lt;&gt;""),"no dates - assumed 1 night",IF(Q62="","",IF(Q62&gt;1.5,"check: markup &gt;150%",IF(Q62&lt;0,"below cost",""))))</f>
        <v>no dates - assumed 1 night</v>
      </c>
    </row>
    <row r="63" customFormat="false" ht="15" hidden="false" customHeight="false" outlineLevel="0" collapsed="false">
      <c r="A63" s="9" t="s">
        <v>12</v>
      </c>
      <c r="B63" s="9" t="s">
        <v>172</v>
      </c>
      <c r="C63" s="9" t="s">
        <v>54</v>
      </c>
      <c r="D63" s="16"/>
      <c r="E63" s="16"/>
      <c r="F63" s="9" t="n">
        <f aca="false">IF(OR(D63="",E63=""),1,MAX(1,DATEVALUE(E63)-DATEVALUE(D63)))</f>
        <v>1</v>
      </c>
      <c r="G63" s="11" t="n">
        <v>49780</v>
      </c>
      <c r="H63" s="11" t="n">
        <v>56241</v>
      </c>
      <c r="I63" s="11"/>
      <c r="J63" s="11"/>
      <c r="K63" s="11"/>
      <c r="L63" s="12"/>
      <c r="M63" s="13"/>
      <c r="N63" s="14" t="n">
        <f aca="false">IF(G63="","",G63/F63)</f>
        <v>49780</v>
      </c>
      <c r="O63" s="14" t="n">
        <f aca="false">IF(COUNT(H63:K63)=0,"",MIN(H63:K63)/F63)</f>
        <v>56241</v>
      </c>
      <c r="P63" s="14" t="str">
        <f aca="false">IF(L63="","",L63*95/F63)</f>
        <v/>
      </c>
      <c r="Q63" s="15" t="n">
        <f aca="false">IF(OR(N63="",O63=""),"",(IF(AND(N63&gt;7500,O63&gt;7500),O63/(1+IF(O63&lt;=1000,0,IF(O63&lt;=7500,0.05,0.18)))-IF(AND(N63&gt;7500,O63&gt;7500),N63/1.18,N63),(O63-IF(AND(N63&gt;7500,O63&gt;7500),N63/1.18,N63))/(1+IF(O63&lt;=1000,0,IF(O63&lt;=7500,0.05,0.18)))))/(IF(AND(N63&gt;7500,O63&gt;7500),N63/1.18,N63)))</f>
        <v>0.129791080755324</v>
      </c>
      <c r="R63" s="15" t="n">
        <f aca="false">IF(OR(N63="",O63=""),"",((O63-N63)/1.18)/N63)</f>
        <v>0.109992441318071</v>
      </c>
      <c r="S63" s="15" t="str">
        <f aca="false">IF(OR(P63="",O63=""),"",(P63-O63)/O63)</f>
        <v/>
      </c>
      <c r="T63" s="9" t="str">
        <f aca="false">IF(AND(D63="",G63&lt;&gt;""),"no dates - assumed 1 night",IF(Q63="","",IF(Q63&gt;1.5,"check: markup &gt;150%",IF(Q63&lt;0,"below cost",""))))</f>
        <v>no dates - assumed 1 night</v>
      </c>
    </row>
    <row r="64" customFormat="false" ht="15" hidden="false" customHeight="false" outlineLevel="0" collapsed="false">
      <c r="A64" s="9" t="s">
        <v>12</v>
      </c>
      <c r="B64" s="9" t="s">
        <v>173</v>
      </c>
      <c r="C64" s="9" t="s">
        <v>44</v>
      </c>
      <c r="D64" s="16"/>
      <c r="E64" s="16"/>
      <c r="F64" s="9" t="n">
        <f aca="false">IF(OR(D64="",E64=""),1,MAX(1,DATEVALUE(E64)-DATEVALUE(D64)))</f>
        <v>1</v>
      </c>
      <c r="G64" s="11" t="n">
        <v>25639</v>
      </c>
      <c r="H64" s="11" t="n">
        <v>29334</v>
      </c>
      <c r="I64" s="11"/>
      <c r="J64" s="11"/>
      <c r="K64" s="11"/>
      <c r="L64" s="12"/>
      <c r="M64" s="13"/>
      <c r="N64" s="14" t="n">
        <f aca="false">IF(G64="","",G64/F64)</f>
        <v>25639</v>
      </c>
      <c r="O64" s="14" t="n">
        <f aca="false">IF(COUNT(H64:K64)=0,"",MIN(H64:K64)/F64)</f>
        <v>29334</v>
      </c>
      <c r="P64" s="14" t="str">
        <f aca="false">IF(L64="","",L64*95/F64)</f>
        <v/>
      </c>
      <c r="Q64" s="15" t="n">
        <f aca="false">IF(OR(N64="",O64=""),"",(IF(AND(N64&gt;7500,O64&gt;7500),O64/(1+IF(O64&lt;=1000,0,IF(O64&lt;=7500,0.05,0.18)))-IF(AND(N64&gt;7500,O64&gt;7500),N64/1.18,N64),(O64-IF(AND(N64&gt;7500,O64&gt;7500),N64/1.18,N64))/(1+IF(O64&lt;=1000,0,IF(O64&lt;=7500,0.05,0.18)))))/(IF(AND(N64&gt;7500,O64&gt;7500),N64/1.18,N64)))</f>
        <v>0.14411638519443</v>
      </c>
      <c r="R64" s="15" t="n">
        <f aca="false">IF(OR(N64="",O64=""),"",((O64-N64)/1.18)/N64)</f>
        <v>0.122132529825788</v>
      </c>
      <c r="S64" s="15" t="str">
        <f aca="false">IF(OR(P64="",O64=""),"",(P64-O64)/O64)</f>
        <v/>
      </c>
      <c r="T64" s="9" t="str">
        <f aca="false">IF(AND(D64="",G64&lt;&gt;""),"no dates - assumed 1 night",IF(Q64="","",IF(Q64&gt;1.5,"check: markup &gt;150%",IF(Q64&lt;0,"below cost",""))))</f>
        <v>no dates - assumed 1 night</v>
      </c>
    </row>
    <row r="65" customFormat="false" ht="15" hidden="false" customHeight="false" outlineLevel="0" collapsed="false">
      <c r="A65" s="9" t="s">
        <v>12</v>
      </c>
      <c r="B65" s="9" t="s">
        <v>173</v>
      </c>
      <c r="C65" s="9" t="s">
        <v>47</v>
      </c>
      <c r="D65" s="16"/>
      <c r="E65" s="16"/>
      <c r="F65" s="9" t="n">
        <f aca="false">IF(OR(D65="",E65=""),1,MAX(1,DATEVALUE(E65)-DATEVALUE(D65)))</f>
        <v>1</v>
      </c>
      <c r="G65" s="11" t="n">
        <v>31335</v>
      </c>
      <c r="H65" s="11" t="n">
        <v>35876</v>
      </c>
      <c r="I65" s="11"/>
      <c r="J65" s="11"/>
      <c r="K65" s="11"/>
      <c r="L65" s="12"/>
      <c r="M65" s="13"/>
      <c r="N65" s="14" t="n">
        <f aca="false">IF(G65="","",G65/F65)</f>
        <v>31335</v>
      </c>
      <c r="O65" s="14" t="n">
        <f aca="false">IF(COUNT(H65:K65)=0,"",MIN(H65:K65)/F65)</f>
        <v>35876</v>
      </c>
      <c r="P65" s="14" t="str">
        <f aca="false">IF(L65="","",L65*95/F65)</f>
        <v/>
      </c>
      <c r="Q65" s="15" t="n">
        <f aca="false">IF(OR(N65="",O65=""),"",(IF(AND(N65&gt;7500,O65&gt;7500),O65/(1+IF(O65&lt;=1000,0,IF(O65&lt;=7500,0.05,0.18)))-IF(AND(N65&gt;7500,O65&gt;7500),N65/1.18,N65),(O65-IF(AND(N65&gt;7500,O65&gt;7500),N65/1.18,N65))/(1+IF(O65&lt;=1000,0,IF(O65&lt;=7500,0.05,0.18)))))/(IF(AND(N65&gt;7500,O65&gt;7500),N65/1.18,N65)))</f>
        <v>0.144917823520026</v>
      </c>
      <c r="R65" s="15" t="n">
        <f aca="false">IF(OR(N65="",O65=""),"",((O65-N65)/1.18)/N65)</f>
        <v>0.122811714847479</v>
      </c>
      <c r="S65" s="15" t="str">
        <f aca="false">IF(OR(P65="",O65=""),"",(P65-O65)/O65)</f>
        <v/>
      </c>
      <c r="T65" s="9" t="str">
        <f aca="false">IF(AND(D65="",G65&lt;&gt;""),"no dates - assumed 1 night",IF(Q65="","",IF(Q65&gt;1.5,"check: markup &gt;150%",IF(Q65&lt;0,"below cost",""))))</f>
        <v>no dates - assumed 1 night</v>
      </c>
    </row>
    <row r="66" customFormat="false" ht="15" hidden="false" customHeight="false" outlineLevel="0" collapsed="false">
      <c r="A66" s="9" t="s">
        <v>12</v>
      </c>
      <c r="B66" s="9" t="s">
        <v>173</v>
      </c>
      <c r="C66" s="9" t="s">
        <v>50</v>
      </c>
      <c r="D66" s="16"/>
      <c r="E66" s="16"/>
      <c r="F66" s="9" t="n">
        <f aca="false">IF(OR(D66="",E66=""),1,MAX(1,DATEVALUE(E66)-DATEVALUE(D66)))</f>
        <v>1</v>
      </c>
      <c r="G66" s="11" t="n">
        <v>35352</v>
      </c>
      <c r="H66" s="11" t="n">
        <v>40362</v>
      </c>
      <c r="I66" s="11"/>
      <c r="J66" s="11"/>
      <c r="K66" s="11"/>
      <c r="L66" s="12"/>
      <c r="M66" s="13"/>
      <c r="N66" s="14" t="n">
        <f aca="false">IF(G66="","",G66/F66)</f>
        <v>35352</v>
      </c>
      <c r="O66" s="14" t="n">
        <f aca="false">IF(COUNT(H66:K66)=0,"",MIN(H66:K66)/F66)</f>
        <v>40362</v>
      </c>
      <c r="P66" s="14" t="str">
        <f aca="false">IF(L66="","",L66*95/F66)</f>
        <v/>
      </c>
      <c r="Q66" s="15" t="n">
        <f aca="false">IF(OR(N66="",O66=""),"",(IF(AND(N66&gt;7500,O66&gt;7500),O66/(1+IF(O66&lt;=1000,0,IF(O66&lt;=7500,0.05,0.18)))-IF(AND(N66&gt;7500,O66&gt;7500),N66/1.18,N66),(O66-IF(AND(N66&gt;7500,O66&gt;7500),N66/1.18,N66))/(1+IF(O66&lt;=1000,0,IF(O66&lt;=7500,0.05,0.18)))))/(IF(AND(N66&gt;7500,O66&gt;7500),N66/1.18,N66)))</f>
        <v>0.141717583163612</v>
      </c>
      <c r="R66" s="15" t="n">
        <f aca="false">IF(OR(N66="",O66=""),"",((O66-N66)/1.18)/N66)</f>
        <v>0.120099646748823</v>
      </c>
      <c r="S66" s="15" t="str">
        <f aca="false">IF(OR(P66="",O66=""),"",(P66-O66)/O66)</f>
        <v/>
      </c>
      <c r="T66" s="9" t="str">
        <f aca="false">IF(AND(D66="",G66&lt;&gt;""),"no dates - assumed 1 night",IF(Q66="","",IF(Q66&gt;1.5,"check: markup &gt;150%",IF(Q66&lt;0,"below cost",""))))</f>
        <v>no dates - assumed 1 night</v>
      </c>
    </row>
    <row r="67" customFormat="false" ht="15" hidden="false" customHeight="false" outlineLevel="0" collapsed="false">
      <c r="A67" s="9" t="s">
        <v>12</v>
      </c>
      <c r="B67" s="9" t="s">
        <v>173</v>
      </c>
      <c r="C67" s="9" t="s">
        <v>54</v>
      </c>
      <c r="D67" s="16"/>
      <c r="E67" s="16"/>
      <c r="F67" s="9" t="n">
        <f aca="false">IF(OR(D67="",E67=""),1,MAX(1,DATEVALUE(E67)-DATEVALUE(D67)))</f>
        <v>1</v>
      </c>
      <c r="G67" s="11" t="n">
        <v>42496</v>
      </c>
      <c r="H67" s="11" t="n">
        <v>48657</v>
      </c>
      <c r="I67" s="11"/>
      <c r="J67" s="11"/>
      <c r="K67" s="11"/>
      <c r="L67" s="12"/>
      <c r="M67" s="13"/>
      <c r="N67" s="14" t="n">
        <f aca="false">IF(G67="","",G67/F67)</f>
        <v>42496</v>
      </c>
      <c r="O67" s="14" t="n">
        <f aca="false">IF(COUNT(H67:K67)=0,"",MIN(H67:K67)/F67)</f>
        <v>48657</v>
      </c>
      <c r="P67" s="14" t="str">
        <f aca="false">IF(L67="","",L67*95/F67)</f>
        <v/>
      </c>
      <c r="Q67" s="15" t="n">
        <f aca="false">IF(OR(N67="",O67=""),"",(IF(AND(N67&gt;7500,O67&gt;7500),O67/(1+IF(O67&lt;=1000,0,IF(O67&lt;=7500,0.05,0.18)))-IF(AND(N67&gt;7500,O67&gt;7500),N67/1.18,N67),(O67-IF(AND(N67&gt;7500,O67&gt;7500),N67/1.18,N67))/(1+IF(O67&lt;=1000,0,IF(O67&lt;=7500,0.05,0.18)))))/(IF(AND(N67&gt;7500,O67&gt;7500),N67/1.18,N67)))</f>
        <v>0.144978350903614</v>
      </c>
      <c r="R67" s="15" t="n">
        <f aca="false">IF(OR(N67="",O67=""),"",((O67-N67)/1.18)/N67)</f>
        <v>0.122863009240351</v>
      </c>
      <c r="S67" s="15" t="str">
        <f aca="false">IF(OR(P67="",O67=""),"",(P67-O67)/O67)</f>
        <v/>
      </c>
      <c r="T67" s="9" t="str">
        <f aca="false">IF(AND(D67="",G67&lt;&gt;""),"no dates - assumed 1 night",IF(Q67="","",IF(Q67&gt;1.5,"check: markup &gt;150%",IF(Q67&lt;0,"below cost",""))))</f>
        <v>no dates - assumed 1 night</v>
      </c>
    </row>
    <row r="68" customFormat="false" ht="15" hidden="false" customHeight="false" outlineLevel="0" collapsed="false">
      <c r="A68" s="9" t="s">
        <v>12</v>
      </c>
      <c r="B68" s="9" t="s">
        <v>174</v>
      </c>
      <c r="C68" s="9" t="s">
        <v>44</v>
      </c>
      <c r="D68" s="16"/>
      <c r="E68" s="16"/>
      <c r="F68" s="9" t="n">
        <f aca="false">IF(OR(D68="",E68=""),1,MAX(1,DATEVALUE(E68)-DATEVALUE(D68)))</f>
        <v>1</v>
      </c>
      <c r="G68" s="11" t="n">
        <v>49588</v>
      </c>
      <c r="H68" s="11" t="n">
        <v>59554</v>
      </c>
      <c r="I68" s="11"/>
      <c r="J68" s="11"/>
      <c r="K68" s="11"/>
      <c r="L68" s="12"/>
      <c r="M68" s="13"/>
      <c r="N68" s="14" t="n">
        <f aca="false">IF(G68="","",G68/F68)</f>
        <v>49588</v>
      </c>
      <c r="O68" s="14" t="n">
        <f aca="false">IF(COUNT(H68:K68)=0,"",MIN(H68:K68)/F68)</f>
        <v>59554</v>
      </c>
      <c r="P68" s="14" t="str">
        <f aca="false">IF(L68="","",L68*95/F68)</f>
        <v/>
      </c>
      <c r="Q68" s="15" t="n">
        <f aca="false">IF(OR(N68="",O68=""),"",(IF(AND(N68&gt;7500,O68&gt;7500),O68/(1+IF(O68&lt;=1000,0,IF(O68&lt;=7500,0.05,0.18)))-IF(AND(N68&gt;7500,O68&gt;7500),N68/1.18,N68),(O68-IF(AND(N68&gt;7500,O68&gt;7500),N68/1.18,N68))/(1+IF(O68&lt;=1000,0,IF(O68&lt;=7500,0.05,0.18)))))/(IF(AND(N68&gt;7500,O68&gt;7500),N68/1.18,N68)))</f>
        <v>0.200976042590949</v>
      </c>
      <c r="R68" s="15" t="n">
        <f aca="false">IF(OR(N68="",O68=""),"",((O68-N68)/1.18)/N68)</f>
        <v>0.170318680161822</v>
      </c>
      <c r="S68" s="15" t="str">
        <f aca="false">IF(OR(P68="",O68=""),"",(P68-O68)/O68)</f>
        <v/>
      </c>
      <c r="T68" s="9" t="str">
        <f aca="false">IF(AND(D68="",G68&lt;&gt;""),"no dates - assumed 1 night",IF(Q68="","",IF(Q68&gt;1.5,"check: markup &gt;150%",IF(Q68&lt;0,"below cost",""))))</f>
        <v>no dates - assumed 1 night</v>
      </c>
    </row>
    <row r="69" customFormat="false" ht="15" hidden="false" customHeight="false" outlineLevel="0" collapsed="false">
      <c r="A69" s="9" t="s">
        <v>12</v>
      </c>
      <c r="B69" s="9" t="s">
        <v>174</v>
      </c>
      <c r="C69" s="9" t="s">
        <v>47</v>
      </c>
      <c r="D69" s="16"/>
      <c r="E69" s="16"/>
      <c r="F69" s="9" t="n">
        <f aca="false">IF(OR(D69="",E69=""),1,MAX(1,DATEVALUE(E69)-DATEVALUE(D69)))</f>
        <v>1</v>
      </c>
      <c r="G69" s="11" t="n">
        <v>60935</v>
      </c>
      <c r="H69" s="11" t="n">
        <v>66716</v>
      </c>
      <c r="I69" s="11"/>
      <c r="J69" s="11"/>
      <c r="K69" s="11"/>
      <c r="L69" s="12"/>
      <c r="M69" s="13"/>
      <c r="N69" s="14" t="n">
        <f aca="false">IF(G69="","",G69/F69)</f>
        <v>60935</v>
      </c>
      <c r="O69" s="14" t="n">
        <f aca="false">IF(COUNT(H69:K69)=0,"",MIN(H69:K69)/F69)</f>
        <v>66716</v>
      </c>
      <c r="P69" s="14" t="str">
        <f aca="false">IF(L69="","",L69*95/F69)</f>
        <v/>
      </c>
      <c r="Q69" s="15" t="n">
        <f aca="false">IF(OR(N69="",O69=""),"",(IF(AND(N69&gt;7500,O69&gt;7500),O69/(1+IF(O69&lt;=1000,0,IF(O69&lt;=7500,0.05,0.18)))-IF(AND(N69&gt;7500,O69&gt;7500),N69/1.18,N69),(O69-IF(AND(N69&gt;7500,O69&gt;7500),N69/1.18,N69))/(1+IF(O69&lt;=1000,0,IF(O69&lt;=7500,0.05,0.18)))))/(IF(AND(N69&gt;7500,O69&gt;7500),N69/1.18,N69)))</f>
        <v>0.0948715844752605</v>
      </c>
      <c r="R69" s="15" t="n">
        <f aca="false">IF(OR(N69="",O69=""),"",((O69-N69)/1.18)/N69)</f>
        <v>0.0803996478603903</v>
      </c>
      <c r="S69" s="15" t="str">
        <f aca="false">IF(OR(P69="",O69=""),"",(P69-O69)/O69)</f>
        <v/>
      </c>
      <c r="T69" s="9" t="str">
        <f aca="false">IF(AND(D69="",G69&lt;&gt;""),"no dates - assumed 1 night",IF(Q69="","",IF(Q69&gt;1.5,"check: markup &gt;150%",IF(Q69&lt;0,"below cost",""))))</f>
        <v>no dates - assumed 1 night</v>
      </c>
    </row>
    <row r="70" customFormat="false" ht="15" hidden="false" customHeight="false" outlineLevel="0" collapsed="false">
      <c r="A70" s="9" t="s">
        <v>12</v>
      </c>
      <c r="B70" s="9" t="s">
        <v>174</v>
      </c>
      <c r="C70" s="9" t="s">
        <v>50</v>
      </c>
      <c r="D70" s="16"/>
      <c r="E70" s="16"/>
      <c r="F70" s="9" t="n">
        <f aca="false">IF(OR(D70="",E70=""),1,MAX(1,DATEVALUE(E70)-DATEVALUE(D70)))</f>
        <v>1</v>
      </c>
      <c r="G70" s="11" t="n">
        <v>65922</v>
      </c>
      <c r="H70" s="11" t="n">
        <v>72528</v>
      </c>
      <c r="I70" s="11"/>
      <c r="J70" s="11"/>
      <c r="K70" s="11"/>
      <c r="L70" s="12"/>
      <c r="M70" s="13"/>
      <c r="N70" s="14" t="n">
        <f aca="false">IF(G70="","",G70/F70)</f>
        <v>65922</v>
      </c>
      <c r="O70" s="14" t="n">
        <f aca="false">IF(COUNT(H70:K70)=0,"",MIN(H70:K70)/F70)</f>
        <v>72528</v>
      </c>
      <c r="P70" s="14" t="str">
        <f aca="false">IF(L70="","",L70*95/F70)</f>
        <v/>
      </c>
      <c r="Q70" s="15" t="n">
        <f aca="false">IF(OR(N70="",O70=""),"",(IF(AND(N70&gt;7500,O70&gt;7500),O70/(1+IF(O70&lt;=1000,0,IF(O70&lt;=7500,0.05,0.18)))-IF(AND(N70&gt;7500,O70&gt;7500),N70/1.18,N70),(O70-IF(AND(N70&gt;7500,O70&gt;7500),N70/1.18,N70))/(1+IF(O70&lt;=1000,0,IF(O70&lt;=7500,0.05,0.18)))))/(IF(AND(N70&gt;7500,O70&gt;7500),N70/1.18,N70)))</f>
        <v>0.100209338308911</v>
      </c>
      <c r="R70" s="15" t="n">
        <f aca="false">IF(OR(N70="",O70=""),"",((O70-N70)/1.18)/N70)</f>
        <v>0.0849231680583988</v>
      </c>
      <c r="S70" s="15" t="str">
        <f aca="false">IF(OR(P70="",O70=""),"",(P70-O70)/O70)</f>
        <v/>
      </c>
      <c r="T70" s="9" t="str">
        <f aca="false">IF(AND(D70="",G70&lt;&gt;""),"no dates - assumed 1 night",IF(Q70="","",IF(Q70&gt;1.5,"check: markup &gt;150%",IF(Q70&lt;0,"below cost",""))))</f>
        <v>no dates - assumed 1 night</v>
      </c>
    </row>
    <row r="71" customFormat="false" ht="15" hidden="false" customHeight="false" outlineLevel="0" collapsed="false">
      <c r="A71" s="9" t="s">
        <v>12</v>
      </c>
      <c r="B71" s="9" t="s">
        <v>174</v>
      </c>
      <c r="C71" s="9" t="s">
        <v>54</v>
      </c>
      <c r="D71" s="16"/>
      <c r="E71" s="16"/>
      <c r="F71" s="9" t="n">
        <f aca="false">IF(OR(D71="",E71=""),1,MAX(1,DATEVALUE(E71)-DATEVALUE(D71)))</f>
        <v>1</v>
      </c>
      <c r="G71" s="11" t="n">
        <v>82562</v>
      </c>
      <c r="H71" s="11" t="n">
        <v>91098</v>
      </c>
      <c r="I71" s="11"/>
      <c r="J71" s="11"/>
      <c r="K71" s="11"/>
      <c r="L71" s="12"/>
      <c r="M71" s="13"/>
      <c r="N71" s="14" t="n">
        <f aca="false">IF(G71="","",G71/F71)</f>
        <v>82562</v>
      </c>
      <c r="O71" s="14" t="n">
        <f aca="false">IF(COUNT(H71:K71)=0,"",MIN(H71:K71)/F71)</f>
        <v>91098</v>
      </c>
      <c r="P71" s="14" t="str">
        <f aca="false">IF(L71="","",L71*95/F71)</f>
        <v/>
      </c>
      <c r="Q71" s="15" t="n">
        <f aca="false">IF(OR(N71="",O71=""),"",(IF(AND(N71&gt;7500,O71&gt;7500),O71/(1+IF(O71&lt;=1000,0,IF(O71&lt;=7500,0.05,0.18)))-IF(AND(N71&gt;7500,O71&gt;7500),N71/1.18,N71),(O71-IF(AND(N71&gt;7500,O71&gt;7500),N71/1.18,N71))/(1+IF(O71&lt;=1000,0,IF(O71&lt;=7500,0.05,0.18)))))/(IF(AND(N71&gt;7500,O71&gt;7500),N71/1.18,N71)))</f>
        <v>0.103388968290497</v>
      </c>
      <c r="R71" s="15" t="n">
        <f aca="false">IF(OR(N71="",O71=""),"",((O71-N71)/1.18)/N71)</f>
        <v>0.0876177697377092</v>
      </c>
      <c r="S71" s="15" t="str">
        <f aca="false">IF(OR(P71="",O71=""),"",(P71-O71)/O71)</f>
        <v/>
      </c>
      <c r="T71" s="9" t="str">
        <f aca="false">IF(AND(D71="",G71&lt;&gt;""),"no dates - assumed 1 night",IF(Q71="","",IF(Q71&gt;1.5,"check: markup &gt;150%",IF(Q71&lt;0,"below cost",""))))</f>
        <v>no dates - assumed 1 night</v>
      </c>
    </row>
    <row r="72" customFormat="false" ht="15" hidden="false" customHeight="false" outlineLevel="0" collapsed="false">
      <c r="A72" s="9" t="s">
        <v>12</v>
      </c>
      <c r="B72" s="9" t="s">
        <v>175</v>
      </c>
      <c r="C72" s="9" t="s">
        <v>44</v>
      </c>
      <c r="D72" s="16"/>
      <c r="E72" s="16"/>
      <c r="F72" s="9" t="n">
        <f aca="false">IF(OR(D72="",E72=""),1,MAX(1,DATEVALUE(E72)-DATEVALUE(D72)))</f>
        <v>1</v>
      </c>
      <c r="G72" s="11" t="n">
        <v>25942</v>
      </c>
      <c r="H72" s="11" t="n">
        <v>45993</v>
      </c>
      <c r="I72" s="11"/>
      <c r="J72" s="11"/>
      <c r="K72" s="11"/>
      <c r="L72" s="12"/>
      <c r="M72" s="13"/>
      <c r="N72" s="14" t="n">
        <f aca="false">IF(G72="","",G72/F72)</f>
        <v>25942</v>
      </c>
      <c r="O72" s="14" t="n">
        <f aca="false">IF(COUNT(H72:K72)=0,"",MIN(H72:K72)/F72)</f>
        <v>45993</v>
      </c>
      <c r="P72" s="14" t="str">
        <f aca="false">IF(L72="","",L72*95/F72)</f>
        <v/>
      </c>
      <c r="Q72" s="15" t="n">
        <f aca="false">IF(OR(N72="",O72=""),"",(IF(AND(N72&gt;7500,O72&gt;7500),O72/(1+IF(O72&lt;=1000,0,IF(O72&lt;=7500,0.05,0.18)))-IF(AND(N72&gt;7500,O72&gt;7500),N72/1.18,N72),(O72-IF(AND(N72&gt;7500,O72&gt;7500),N72/1.18,N72))/(1+IF(O72&lt;=1000,0,IF(O72&lt;=7500,0.05,0.18)))))/(IF(AND(N72&gt;7500,O72&gt;7500),N72/1.18,N72)))</f>
        <v>0.772916506051962</v>
      </c>
      <c r="R72" s="15" t="n">
        <f aca="false">IF(OR(N72="",O72=""),"",((O72-N72)/1.18)/N72)</f>
        <v>0.655013988179629</v>
      </c>
      <c r="S72" s="15" t="str">
        <f aca="false">IF(OR(P72="",O72=""),"",(P72-O72)/O72)</f>
        <v/>
      </c>
      <c r="T72" s="9" t="str">
        <f aca="false">IF(AND(D72="",G72&lt;&gt;""),"no dates - assumed 1 night",IF(Q72="","",IF(Q72&gt;1.5,"check: markup &gt;150%",IF(Q72&lt;0,"below cost",""))))</f>
        <v>no dates - assumed 1 night</v>
      </c>
    </row>
    <row r="73" customFormat="false" ht="15" hidden="false" customHeight="false" outlineLevel="0" collapsed="false">
      <c r="A73" s="9" t="s">
        <v>12</v>
      </c>
      <c r="B73" s="9" t="s">
        <v>175</v>
      </c>
      <c r="C73" s="9" t="s">
        <v>47</v>
      </c>
      <c r="D73" s="16"/>
      <c r="E73" s="16"/>
      <c r="F73" s="9" t="n">
        <f aca="false">IF(OR(D73="",E73=""),1,MAX(1,DATEVALUE(E73)-DATEVALUE(D73)))</f>
        <v>1</v>
      </c>
      <c r="G73" s="11" t="n">
        <v>25942</v>
      </c>
      <c r="H73" s="11" t="n">
        <v>47558</v>
      </c>
      <c r="I73" s="11"/>
      <c r="J73" s="11"/>
      <c r="K73" s="11"/>
      <c r="L73" s="12"/>
      <c r="M73" s="13"/>
      <c r="N73" s="14" t="n">
        <f aca="false">IF(G73="","",G73/F73)</f>
        <v>25942</v>
      </c>
      <c r="O73" s="14" t="n">
        <f aca="false">IF(COUNT(H73:K73)=0,"",MIN(H73:K73)/F73)</f>
        <v>47558</v>
      </c>
      <c r="P73" s="14" t="str">
        <f aca="false">IF(L73="","",L73*95/F73)</f>
        <v/>
      </c>
      <c r="Q73" s="15" t="n">
        <f aca="false">IF(OR(N73="",O73=""),"",(IF(AND(N73&gt;7500,O73&gt;7500),O73/(1+IF(O73&lt;=1000,0,IF(O73&lt;=7500,0.05,0.18)))-IF(AND(N73&gt;7500,O73&gt;7500),N73/1.18,N73),(O73-IF(AND(N73&gt;7500,O73&gt;7500),N73/1.18,N73))/(1+IF(O73&lt;=1000,0,IF(O73&lt;=7500,0.05,0.18)))))/(IF(AND(N73&gt;7500,O73&gt;7500),N73/1.18,N73)))</f>
        <v>0.833243389098759</v>
      </c>
      <c r="R73" s="15" t="n">
        <f aca="false">IF(OR(N73="",O73=""),"",((O73-N73)/1.18)/N73)</f>
        <v>0.706138465337931</v>
      </c>
      <c r="S73" s="15" t="str">
        <f aca="false">IF(OR(P73="",O73=""),"",(P73-O73)/O73)</f>
        <v/>
      </c>
      <c r="T73" s="9" t="str">
        <f aca="false">IF(AND(D73="",G73&lt;&gt;""),"no dates - assumed 1 night",IF(Q73="","",IF(Q73&gt;1.5,"check: markup &gt;150%",IF(Q73&lt;0,"below cost",""))))</f>
        <v>no dates - assumed 1 night</v>
      </c>
    </row>
    <row r="74" customFormat="false" ht="15" hidden="false" customHeight="false" outlineLevel="0" collapsed="false">
      <c r="A74" s="9" t="s">
        <v>12</v>
      </c>
      <c r="B74" s="9" t="s">
        <v>175</v>
      </c>
      <c r="C74" s="9" t="s">
        <v>50</v>
      </c>
      <c r="D74" s="16"/>
      <c r="E74" s="16"/>
      <c r="F74" s="9" t="n">
        <f aca="false">IF(OR(D74="",E74=""),1,MAX(1,DATEVALUE(E74)-DATEVALUE(D74)))</f>
        <v>1</v>
      </c>
      <c r="G74" s="11" t="n">
        <v>47217</v>
      </c>
      <c r="H74" s="11" t="n">
        <v>52766</v>
      </c>
      <c r="I74" s="11"/>
      <c r="J74" s="11"/>
      <c r="K74" s="11"/>
      <c r="L74" s="12"/>
      <c r="M74" s="13"/>
      <c r="N74" s="14" t="n">
        <f aca="false">IF(G74="","",G74/F74)</f>
        <v>47217</v>
      </c>
      <c r="O74" s="14" t="n">
        <f aca="false">IF(COUNT(H74:K74)=0,"",MIN(H74:K74)/F74)</f>
        <v>52766</v>
      </c>
      <c r="P74" s="14" t="str">
        <f aca="false">IF(L74="","",L74*95/F74)</f>
        <v/>
      </c>
      <c r="Q74" s="15" t="n">
        <f aca="false">IF(OR(N74="",O74=""),"",(IF(AND(N74&gt;7500,O74&gt;7500),O74/(1+IF(O74&lt;=1000,0,IF(O74&lt;=7500,0.05,0.18)))-IF(AND(N74&gt;7500,O74&gt;7500),N74/1.18,N74),(O74-IF(AND(N74&gt;7500,O74&gt;7500),N74/1.18,N74))/(1+IF(O74&lt;=1000,0,IF(O74&lt;=7500,0.05,0.18)))))/(IF(AND(N74&gt;7500,O74&gt;7500),N74/1.18,N74)))</f>
        <v>0.117521231759748</v>
      </c>
      <c r="R74" s="15" t="n">
        <f aca="false">IF(OR(N74="",O74=""),"",((O74-N74)/1.18)/N74)</f>
        <v>0.0995942642031759</v>
      </c>
      <c r="S74" s="15" t="str">
        <f aca="false">IF(OR(P74="",O74=""),"",(P74-O74)/O74)</f>
        <v/>
      </c>
      <c r="T74" s="9" t="str">
        <f aca="false">IF(AND(D74="",G74&lt;&gt;""),"no dates - assumed 1 night",IF(Q74="","",IF(Q74&gt;1.5,"check: markup &gt;150%",IF(Q74&lt;0,"below cost",""))))</f>
        <v>no dates - assumed 1 night</v>
      </c>
    </row>
    <row r="75" customFormat="false" ht="15" hidden="false" customHeight="false" outlineLevel="0" collapsed="false">
      <c r="A75" s="9" t="s">
        <v>12</v>
      </c>
      <c r="B75" s="9" t="s">
        <v>175</v>
      </c>
      <c r="C75" s="9" t="s">
        <v>54</v>
      </c>
      <c r="D75" s="16"/>
      <c r="E75" s="16"/>
      <c r="F75" s="9" t="n">
        <f aca="false">IF(OR(D75="",E75=""),1,MAX(1,DATEVALUE(E75)-DATEVALUE(D75)))</f>
        <v>1</v>
      </c>
      <c r="G75" s="11" t="n">
        <v>48093</v>
      </c>
      <c r="H75" s="11" t="n">
        <v>52340</v>
      </c>
      <c r="I75" s="11"/>
      <c r="J75" s="11"/>
      <c r="K75" s="11"/>
      <c r="L75" s="12"/>
      <c r="M75" s="13"/>
      <c r="N75" s="14" t="n">
        <f aca="false">IF(G75="","",G75/F75)</f>
        <v>48093</v>
      </c>
      <c r="O75" s="14" t="n">
        <f aca="false">IF(COUNT(H75:K75)=0,"",MIN(H75:K75)/F75)</f>
        <v>52340</v>
      </c>
      <c r="P75" s="14" t="str">
        <f aca="false">IF(L75="","",L75*95/F75)</f>
        <v/>
      </c>
      <c r="Q75" s="15" t="n">
        <f aca="false">IF(OR(N75="",O75=""),"",(IF(AND(N75&gt;7500,O75&gt;7500),O75/(1+IF(O75&lt;=1000,0,IF(O75&lt;=7500,0.05,0.18)))-IF(AND(N75&gt;7500,O75&gt;7500),N75/1.18,N75),(O75-IF(AND(N75&gt;7500,O75&gt;7500),N75/1.18,N75))/(1+IF(O75&lt;=1000,0,IF(O75&lt;=7500,0.05,0.18)))))/(IF(AND(N75&gt;7500,O75&gt;7500),N75/1.18,N75)))</f>
        <v>0.0883080697814651</v>
      </c>
      <c r="R75" s="15" t="n">
        <f aca="false">IF(OR(N75="",O75=""),"",((O75-N75)/1.18)/N75)</f>
        <v>0.074837347272428</v>
      </c>
      <c r="S75" s="15" t="str">
        <f aca="false">IF(OR(P75="",O75=""),"",(P75-O75)/O75)</f>
        <v/>
      </c>
      <c r="T75" s="9" t="str">
        <f aca="false">IF(AND(D75="",G75&lt;&gt;""),"no dates - assumed 1 night",IF(Q75="","",IF(Q75&gt;1.5,"check: markup &gt;150%",IF(Q75&lt;0,"below cost",""))))</f>
        <v>no dates - assumed 1 night</v>
      </c>
    </row>
    <row r="76" customFormat="false" ht="15" hidden="false" customHeight="false" outlineLevel="0" collapsed="false">
      <c r="A76" s="9" t="s">
        <v>12</v>
      </c>
      <c r="B76" s="9" t="s">
        <v>176</v>
      </c>
      <c r="C76" s="9" t="s">
        <v>44</v>
      </c>
      <c r="D76" s="16"/>
      <c r="E76" s="16"/>
      <c r="F76" s="9" t="n">
        <f aca="false">IF(OR(D76="",E76=""),1,MAX(1,DATEVALUE(E76)-DATEVALUE(D76)))</f>
        <v>1</v>
      </c>
      <c r="G76" s="11" t="n">
        <v>72676</v>
      </c>
      <c r="H76" s="11" t="n">
        <v>89486</v>
      </c>
      <c r="I76" s="11"/>
      <c r="J76" s="11"/>
      <c r="K76" s="11"/>
      <c r="L76" s="12"/>
      <c r="M76" s="13"/>
      <c r="N76" s="14" t="n">
        <f aca="false">IF(G76="","",G76/F76)</f>
        <v>72676</v>
      </c>
      <c r="O76" s="14" t="n">
        <f aca="false">IF(COUNT(H76:K76)=0,"",MIN(H76:K76)/F76)</f>
        <v>89486</v>
      </c>
      <c r="P76" s="14" t="str">
        <f aca="false">IF(L76="","",L76*95/F76)</f>
        <v/>
      </c>
      <c r="Q76" s="15" t="n">
        <f aca="false">IF(OR(N76="",O76=""),"",(IF(AND(N76&gt;7500,O76&gt;7500),O76/(1+IF(O76&lt;=1000,0,IF(O76&lt;=7500,0.05,0.18)))-IF(AND(N76&gt;7500,O76&gt;7500),N76/1.18,N76),(O76-IF(AND(N76&gt;7500,O76&gt;7500),N76/1.18,N76))/(1+IF(O76&lt;=1000,0,IF(O76&lt;=7500,0.05,0.18)))))/(IF(AND(N76&gt;7500,O76&gt;7500),N76/1.18,N76)))</f>
        <v>0.231300566899664</v>
      </c>
      <c r="R76" s="15" t="n">
        <f aca="false">IF(OR(N76="",O76=""),"",((O76-N76)/1.18)/N76)</f>
        <v>0.196017429575987</v>
      </c>
      <c r="S76" s="15" t="str">
        <f aca="false">IF(OR(P76="",O76=""),"",(P76-O76)/O76)</f>
        <v/>
      </c>
      <c r="T76" s="9" t="str">
        <f aca="false">IF(AND(D76="",G76&lt;&gt;""),"no dates - assumed 1 night",IF(Q76="","",IF(Q76&gt;1.5,"check: markup &gt;150%",IF(Q76&lt;0,"below cost",""))))</f>
        <v>no dates - assumed 1 night</v>
      </c>
    </row>
    <row r="77" customFormat="false" ht="15" hidden="false" customHeight="false" outlineLevel="0" collapsed="false">
      <c r="A77" s="9" t="s">
        <v>12</v>
      </c>
      <c r="B77" s="9" t="s">
        <v>176</v>
      </c>
      <c r="C77" s="9" t="s">
        <v>47</v>
      </c>
      <c r="D77" s="16"/>
      <c r="E77" s="16"/>
      <c r="F77" s="9" t="n">
        <f aca="false">IF(OR(D77="",E77=""),1,MAX(1,DATEVALUE(E77)-DATEVALUE(D77)))</f>
        <v>1</v>
      </c>
      <c r="G77" s="11" t="n">
        <v>72676</v>
      </c>
      <c r="H77" s="11" t="n">
        <v>97481</v>
      </c>
      <c r="I77" s="11"/>
      <c r="J77" s="11"/>
      <c r="K77" s="11"/>
      <c r="L77" s="12"/>
      <c r="M77" s="13"/>
      <c r="N77" s="14" t="n">
        <f aca="false">IF(G77="","",G77/F77)</f>
        <v>72676</v>
      </c>
      <c r="O77" s="14" t="n">
        <f aca="false">IF(COUNT(H77:K77)=0,"",MIN(H77:K77)/F77)</f>
        <v>97481</v>
      </c>
      <c r="P77" s="14" t="str">
        <f aca="false">IF(L77="","",L77*95/F77)</f>
        <v/>
      </c>
      <c r="Q77" s="15" t="n">
        <f aca="false">IF(OR(N77="",O77=""),"",(IF(AND(N77&gt;7500,O77&gt;7500),O77/(1+IF(O77&lt;=1000,0,IF(O77&lt;=7500,0.05,0.18)))-IF(AND(N77&gt;7500,O77&gt;7500),N77/1.18,N77),(O77-IF(AND(N77&gt;7500,O77&gt;7500),N77/1.18,N77))/(1+IF(O77&lt;=1000,0,IF(O77&lt;=7500,0.05,0.18)))))/(IF(AND(N77&gt;7500,O77&gt;7500),N77/1.18,N77)))</f>
        <v>0.341309373108041</v>
      </c>
      <c r="R77" s="15" t="n">
        <f aca="false">IF(OR(N77="",O77=""),"",((O77-N77)/1.18)/N77)</f>
        <v>0.289245231447493</v>
      </c>
      <c r="S77" s="15" t="str">
        <f aca="false">IF(OR(P77="",O77=""),"",(P77-O77)/O77)</f>
        <v/>
      </c>
      <c r="T77" s="9" t="str">
        <f aca="false">IF(AND(D77="",G77&lt;&gt;""),"no dates - assumed 1 night",IF(Q77="","",IF(Q77&gt;1.5,"check: markup &gt;150%",IF(Q77&lt;0,"below cost",""))))</f>
        <v>no dates - assumed 1 night</v>
      </c>
    </row>
    <row r="78" customFormat="false" ht="15" hidden="false" customHeight="false" outlineLevel="0" collapsed="false">
      <c r="A78" s="9" t="s">
        <v>12</v>
      </c>
      <c r="B78" s="9" t="s">
        <v>176</v>
      </c>
      <c r="C78" s="9" t="s">
        <v>54</v>
      </c>
      <c r="D78" s="16"/>
      <c r="E78" s="16"/>
      <c r="F78" s="9" t="n">
        <f aca="false">IF(OR(D78="",E78=""),1,MAX(1,DATEVALUE(E78)-DATEVALUE(D78)))</f>
        <v>1</v>
      </c>
      <c r="G78" s="11" t="n">
        <v>81338</v>
      </c>
      <c r="H78" s="11" t="n">
        <v>149953</v>
      </c>
      <c r="I78" s="11"/>
      <c r="J78" s="11"/>
      <c r="K78" s="11"/>
      <c r="L78" s="12"/>
      <c r="M78" s="13"/>
      <c r="N78" s="14" t="n">
        <f aca="false">IF(G78="","",G78/F78)</f>
        <v>81338</v>
      </c>
      <c r="O78" s="14" t="n">
        <f aca="false">IF(COUNT(H78:K78)=0,"",MIN(H78:K78)/F78)</f>
        <v>149953</v>
      </c>
      <c r="P78" s="14" t="str">
        <f aca="false">IF(L78="","",L78*95/F78)</f>
        <v/>
      </c>
      <c r="Q78" s="15" t="n">
        <f aca="false">IF(OR(N78="",O78=""),"",(IF(AND(N78&gt;7500,O78&gt;7500),O78/(1+IF(O78&lt;=1000,0,IF(O78&lt;=7500,0.05,0.18)))-IF(AND(N78&gt;7500,O78&gt;7500),N78/1.18,N78),(O78-IF(AND(N78&gt;7500,O78&gt;7500),N78/1.18,N78))/(1+IF(O78&lt;=1000,0,IF(O78&lt;=7500,0.05,0.18)))))/(IF(AND(N78&gt;7500,O78&gt;7500),N78/1.18,N78)))</f>
        <v>0.843578647126804</v>
      </c>
      <c r="R78" s="15" t="n">
        <f aca="false">IF(OR(N78="",O78=""),"",((O78-N78)/1.18)/N78)</f>
        <v>0.714897158582038</v>
      </c>
      <c r="S78" s="15" t="str">
        <f aca="false">IF(OR(P78="",O78=""),"",(P78-O78)/O78)</f>
        <v/>
      </c>
      <c r="T78" s="9" t="str">
        <f aca="false">IF(AND(D78="",G78&lt;&gt;""),"no dates - assumed 1 night",IF(Q78="","",IF(Q78&gt;1.5,"check: markup &gt;150%",IF(Q78&lt;0,"below cost",""))))</f>
        <v>no dates - assumed 1 night</v>
      </c>
    </row>
    <row r="79" customFormat="false" ht="15" hidden="false" customHeight="false" outlineLevel="0" collapsed="false">
      <c r="A79" s="9" t="s">
        <v>12</v>
      </c>
      <c r="B79" s="9" t="s">
        <v>177</v>
      </c>
      <c r="C79" s="9" t="s">
        <v>44</v>
      </c>
      <c r="D79" s="16"/>
      <c r="E79" s="16"/>
      <c r="F79" s="9" t="n">
        <f aca="false">IF(OR(D79="",E79=""),1,MAX(1,DATEVALUE(E79)-DATEVALUE(D79)))</f>
        <v>1</v>
      </c>
      <c r="G79" s="11" t="n">
        <v>66757</v>
      </c>
      <c r="H79" s="11" t="n">
        <v>76203</v>
      </c>
      <c r="I79" s="11"/>
      <c r="J79" s="11"/>
      <c r="K79" s="11"/>
      <c r="L79" s="12"/>
      <c r="M79" s="13"/>
      <c r="N79" s="14" t="n">
        <f aca="false">IF(G79="","",G79/F79)</f>
        <v>66757</v>
      </c>
      <c r="O79" s="14" t="n">
        <f aca="false">IF(COUNT(H79:K79)=0,"",MIN(H79:K79)/F79)</f>
        <v>76203</v>
      </c>
      <c r="P79" s="14" t="str">
        <f aca="false">IF(L79="","",L79*95/F79)</f>
        <v/>
      </c>
      <c r="Q79" s="15" t="n">
        <f aca="false">IF(OR(N79="",O79=""),"",(IF(AND(N79&gt;7500,O79&gt;7500),O79/(1+IF(O79&lt;=1000,0,IF(O79&lt;=7500,0.05,0.18)))-IF(AND(N79&gt;7500,O79&gt;7500),N79/1.18,N79),(O79-IF(AND(N79&gt;7500,O79&gt;7500),N79/1.18,N79))/(1+IF(O79&lt;=1000,0,IF(O79&lt;=7500,0.05,0.18)))))/(IF(AND(N79&gt;7500,O79&gt;7500),N79/1.18,N79)))</f>
        <v>0.141498269844361</v>
      </c>
      <c r="R79" s="15" t="n">
        <f aca="false">IF(OR(N79="",O79=""),"",((O79-N79)/1.18)/N79)</f>
        <v>0.119913788003696</v>
      </c>
      <c r="S79" s="15" t="str">
        <f aca="false">IF(OR(P79="",O79=""),"",(P79-O79)/O79)</f>
        <v/>
      </c>
      <c r="T79" s="9" t="str">
        <f aca="false">IF(AND(D79="",G79&lt;&gt;""),"no dates - assumed 1 night",IF(Q79="","",IF(Q79&gt;1.5,"check: markup &gt;150%",IF(Q79&lt;0,"below cost",""))))</f>
        <v>no dates - assumed 1 night</v>
      </c>
    </row>
    <row r="80" customFormat="false" ht="15" hidden="false" customHeight="false" outlineLevel="0" collapsed="false">
      <c r="A80" s="9" t="s">
        <v>12</v>
      </c>
      <c r="B80" s="9" t="s">
        <v>177</v>
      </c>
      <c r="C80" s="9" t="s">
        <v>47</v>
      </c>
      <c r="D80" s="16"/>
      <c r="E80" s="16"/>
      <c r="F80" s="9" t="n">
        <f aca="false">IF(OR(D80="",E80=""),1,MAX(1,DATEVALUE(E80)-DATEVALUE(D80)))</f>
        <v>1</v>
      </c>
      <c r="G80" s="11" t="n">
        <v>72370</v>
      </c>
      <c r="H80" s="11" t="n">
        <v>78604</v>
      </c>
      <c r="I80" s="11"/>
      <c r="J80" s="11"/>
      <c r="K80" s="11"/>
      <c r="L80" s="12"/>
      <c r="M80" s="13"/>
      <c r="N80" s="14" t="n">
        <f aca="false">IF(G80="","",G80/F80)</f>
        <v>72370</v>
      </c>
      <c r="O80" s="14" t="n">
        <f aca="false">IF(COUNT(H80:K80)=0,"",MIN(H80:K80)/F80)</f>
        <v>78604</v>
      </c>
      <c r="P80" s="14" t="str">
        <f aca="false">IF(L80="","",L80*95/F80)</f>
        <v/>
      </c>
      <c r="Q80" s="15" t="n">
        <f aca="false">IF(OR(N80="",O80=""),"",(IF(AND(N80&gt;7500,O80&gt;7500),O80/(1+IF(O80&lt;=1000,0,IF(O80&lt;=7500,0.05,0.18)))-IF(AND(N80&gt;7500,O80&gt;7500),N80/1.18,N80),(O80-IF(AND(N80&gt;7500,O80&gt;7500),N80/1.18,N80))/(1+IF(O80&lt;=1000,0,IF(O80&lt;=7500,0.05,0.18)))))/(IF(AND(N80&gt;7500,O80&gt;7500),N80/1.18,N80)))</f>
        <v>0.0861406660218324</v>
      </c>
      <c r="R80" s="15" t="n">
        <f aca="false">IF(OR(N80="",O80=""),"",((O80-N80)/1.18)/N80)</f>
        <v>0.0730005644252816</v>
      </c>
      <c r="S80" s="15" t="str">
        <f aca="false">IF(OR(P80="",O80=""),"",(P80-O80)/O80)</f>
        <v/>
      </c>
      <c r="T80" s="9" t="str">
        <f aca="false">IF(AND(D80="",G80&lt;&gt;""),"no dates - assumed 1 night",IF(Q80="","",IF(Q80&gt;1.5,"check: markup &gt;150%",IF(Q80&lt;0,"below cost",""))))</f>
        <v>no dates - assumed 1 night</v>
      </c>
    </row>
    <row r="81" customFormat="false" ht="15" hidden="false" customHeight="false" outlineLevel="0" collapsed="false">
      <c r="A81" s="9" t="s">
        <v>12</v>
      </c>
      <c r="B81" s="9" t="s">
        <v>177</v>
      </c>
      <c r="C81" s="9" t="s">
        <v>50</v>
      </c>
      <c r="D81" s="16"/>
      <c r="E81" s="16"/>
      <c r="F81" s="9" t="n">
        <f aca="false">IF(OR(D81="",E81=""),1,MAX(1,DATEVALUE(E81)-DATEVALUE(D81)))</f>
        <v>1</v>
      </c>
      <c r="G81" s="11" t="n">
        <v>79812</v>
      </c>
      <c r="H81" s="11" t="n">
        <v>86901</v>
      </c>
      <c r="I81" s="11"/>
      <c r="J81" s="11"/>
      <c r="K81" s="11"/>
      <c r="L81" s="12"/>
      <c r="M81" s="13"/>
      <c r="N81" s="14" t="n">
        <f aca="false">IF(G81="","",G81/F81)</f>
        <v>79812</v>
      </c>
      <c r="O81" s="14" t="n">
        <f aca="false">IF(COUNT(H81:K81)=0,"",MIN(H81:K81)/F81)</f>
        <v>86901</v>
      </c>
      <c r="P81" s="14" t="str">
        <f aca="false">IF(L81="","",L81*95/F81)</f>
        <v/>
      </c>
      <c r="Q81" s="15" t="n">
        <f aca="false">IF(OR(N81="",O81=""),"",(IF(AND(N81&gt;7500,O81&gt;7500),O81/(1+IF(O81&lt;=1000,0,IF(O81&lt;=7500,0.05,0.18)))-IF(AND(N81&gt;7500,O81&gt;7500),N81/1.18,N81),(O81-IF(AND(N81&gt;7500,O81&gt;7500),N81/1.18,N81))/(1+IF(O81&lt;=1000,0,IF(O81&lt;=7500,0.05,0.18)))))/(IF(AND(N81&gt;7500,O81&gt;7500),N81/1.18,N81)))</f>
        <v>0.0888212298902421</v>
      </c>
      <c r="R81" s="15" t="n">
        <f aca="false">IF(OR(N81="",O81=""),"",((O81-N81)/1.18)/N81)</f>
        <v>0.0752722287205441</v>
      </c>
      <c r="S81" s="15" t="str">
        <f aca="false">IF(OR(P81="",O81=""),"",(P81-O81)/O81)</f>
        <v/>
      </c>
      <c r="T81" s="9" t="str">
        <f aca="false">IF(AND(D81="",G81&lt;&gt;""),"no dates - assumed 1 night",IF(Q81="","",IF(Q81&gt;1.5,"check: markup &gt;150%",IF(Q81&lt;0,"below cost",""))))</f>
        <v>no dates - assumed 1 night</v>
      </c>
    </row>
    <row r="82" customFormat="false" ht="15" hidden="false" customHeight="false" outlineLevel="0" collapsed="false">
      <c r="A82" s="9" t="s">
        <v>12</v>
      </c>
      <c r="B82" s="9" t="s">
        <v>177</v>
      </c>
      <c r="C82" s="9" t="s">
        <v>54</v>
      </c>
      <c r="D82" s="16"/>
      <c r="E82" s="16"/>
      <c r="F82" s="9" t="n">
        <f aca="false">IF(OR(D82="",E82=""),1,MAX(1,DATEVALUE(E82)-DATEVALUE(D82)))</f>
        <v>1</v>
      </c>
      <c r="G82" s="11" t="n">
        <v>169140</v>
      </c>
      <c r="H82" s="11" t="n">
        <v>183410</v>
      </c>
      <c r="I82" s="11"/>
      <c r="J82" s="11"/>
      <c r="K82" s="11"/>
      <c r="L82" s="12"/>
      <c r="M82" s="13"/>
      <c r="N82" s="14" t="n">
        <f aca="false">IF(G82="","",G82/F82)</f>
        <v>169140</v>
      </c>
      <c r="O82" s="14" t="n">
        <f aca="false">IF(COUNT(H82:K82)=0,"",MIN(H82:K82)/F82)</f>
        <v>183410</v>
      </c>
      <c r="P82" s="14" t="str">
        <f aca="false">IF(L82="","",L82*95/F82)</f>
        <v/>
      </c>
      <c r="Q82" s="15" t="n">
        <f aca="false">IF(OR(N82="",O82=""),"",(IF(AND(N82&gt;7500,O82&gt;7500),O82/(1+IF(O82&lt;=1000,0,IF(O82&lt;=7500,0.05,0.18)))-IF(AND(N82&gt;7500,O82&gt;7500),N82/1.18,N82),(O82-IF(AND(N82&gt;7500,O82&gt;7500),N82/1.18,N82))/(1+IF(O82&lt;=1000,0,IF(O82&lt;=7500,0.05,0.18)))))/(IF(AND(N82&gt;7500,O82&gt;7500),N82/1.18,N82)))</f>
        <v>0.0843679791888377</v>
      </c>
      <c r="R82" s="15" t="n">
        <f aca="false">IF(OR(N82="",O82=""),"",((O82-N82)/1.18)/N82)</f>
        <v>0.0714982874481675</v>
      </c>
      <c r="S82" s="15" t="str">
        <f aca="false">IF(OR(P82="",O82=""),"",(P82-O82)/O82)</f>
        <v/>
      </c>
      <c r="T82" s="9" t="str">
        <f aca="false">IF(AND(D82="",G82&lt;&gt;""),"no dates - assumed 1 night",IF(Q82="","",IF(Q82&gt;1.5,"check: markup &gt;150%",IF(Q82&lt;0,"below cost",""))))</f>
        <v>no dates - assumed 1 night</v>
      </c>
    </row>
    <row r="84" customFormat="false" ht="15" hidden="false" customHeight="false" outlineLevel="0" collapsed="false">
      <c r="A84" s="2" t="s">
        <v>86</v>
      </c>
    </row>
  </sheetData>
  <autoFilter ref="A1:T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11" min="7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9" min="17" style="0" width="10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8" t="s">
        <v>2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2" customFormat="false" ht="15" hidden="false" customHeight="false" outlineLevel="0" collapsed="false">
      <c r="A2" s="9" t="s">
        <v>13</v>
      </c>
      <c r="B2" s="9" t="s">
        <v>178</v>
      </c>
      <c r="C2" s="9" t="s">
        <v>47</v>
      </c>
      <c r="D2" s="10" t="s">
        <v>127</v>
      </c>
      <c r="E2" s="10" t="s">
        <v>128</v>
      </c>
      <c r="F2" s="9" t="n">
        <f aca="false">IF(OR(D2="",E2=""),1,MAX(1,DATEVALUE(E2)-DATEVALUE(D2)))</f>
        <v>3</v>
      </c>
      <c r="G2" s="11" t="n">
        <v>179389</v>
      </c>
      <c r="H2" s="11" t="n">
        <v>219366</v>
      </c>
      <c r="I2" s="11"/>
      <c r="J2" s="11"/>
      <c r="K2" s="11"/>
      <c r="L2" s="12"/>
      <c r="M2" s="13"/>
      <c r="N2" s="14" t="n">
        <f aca="false">IF(G2="","",G2/F2)</f>
        <v>59796.3333333333</v>
      </c>
      <c r="O2" s="14" t="n">
        <f aca="false">IF(COUNT(H2:K2)=0,"",MIN(H2:K2)/F2)</f>
        <v>73122</v>
      </c>
      <c r="P2" s="14" t="str">
        <f aca="false">IF(L2="","",L2*95/F2)</f>
        <v/>
      </c>
      <c r="Q2" s="15" t="n">
        <f aca="false">IF(OR(N2="",O2=""),"",(IF(AND(N2&gt;7500,O2&gt;7500),O2/(1+IF(O2&lt;=1000,0,IF(O2&lt;=7500,0.05,0.18)))-IF(AND(N2&gt;7500,O2&gt;7500),N2/1.18,N2),(O2-IF(AND(N2&gt;7500,O2&gt;7500),N2/1.18,N2))/(1+IF(O2&lt;=1000,0,IF(O2&lt;=7500,0.05,0.18)))))/(IF(AND(N2&gt;7500,O2&gt;7500),N2/1.18,N2)))</f>
        <v>0.222850899441995</v>
      </c>
      <c r="R2" s="15" t="n">
        <f aca="false">IF(OR(N2="",O2=""),"",((O2-N2)/1.18)/N2)</f>
        <v>0.188856694442368</v>
      </c>
      <c r="S2" s="15" t="str">
        <f aca="false">IF(OR(P2="",O2=""),"",(P2-O2)/O2)</f>
        <v/>
      </c>
      <c r="T2" s="9" t="str">
        <f aca="false">IF(AND(D2="",G2&lt;&gt;""),"no dates - assumed 1 night",IF(Q2="","",IF(Q2&gt;1.5,"check: markup &gt;150%",IF(Q2&lt;0,"below cost",""))))</f>
        <v/>
      </c>
    </row>
    <row r="3" customFormat="false" ht="15" hidden="false" customHeight="false" outlineLevel="0" collapsed="false">
      <c r="A3" s="9" t="s">
        <v>13</v>
      </c>
      <c r="B3" s="9" t="s">
        <v>178</v>
      </c>
      <c r="C3" s="9" t="s">
        <v>50</v>
      </c>
      <c r="D3" s="10" t="s">
        <v>48</v>
      </c>
      <c r="E3" s="10" t="s">
        <v>49</v>
      </c>
      <c r="F3" s="9" t="n">
        <f aca="false">IF(OR(D3="",E3=""),1,MAX(1,DATEVALUE(E3)-DATEVALUE(D3)))</f>
        <v>3</v>
      </c>
      <c r="G3" s="11" t="n">
        <v>220480</v>
      </c>
      <c r="H3" s="11" t="n">
        <v>256133</v>
      </c>
      <c r="I3" s="11"/>
      <c r="J3" s="11"/>
      <c r="K3" s="11"/>
      <c r="L3" s="12"/>
      <c r="M3" s="13"/>
      <c r="N3" s="14" t="n">
        <f aca="false">IF(G3="","",G3/F3)</f>
        <v>73493.3333333333</v>
      </c>
      <c r="O3" s="14" t="n">
        <f aca="false">IF(COUNT(H3:K3)=0,"",MIN(H3:K3)/F3)</f>
        <v>85377.6666666667</v>
      </c>
      <c r="P3" s="14" t="str">
        <f aca="false">IF(L3="","",L3*95/F3)</f>
        <v/>
      </c>
      <c r="Q3" s="15" t="n">
        <f aca="false">IF(OR(N3="",O3=""),"",(IF(AND(N3&gt;7500,O3&gt;7500),O3/(1+IF(O3&lt;=1000,0,IF(O3&lt;=7500,0.05,0.18)))-IF(AND(N3&gt;7500,O3&gt;7500),N3/1.18,N3),(O3-IF(AND(N3&gt;7500,O3&gt;7500),N3/1.18,N3))/(1+IF(O3&lt;=1000,0,IF(O3&lt;=7500,0.05,0.18)))))/(IF(AND(N3&gt;7500,O3&gt;7500),N3/1.18,N3)))</f>
        <v>0.161706277213353</v>
      </c>
      <c r="R3" s="15" t="n">
        <f aca="false">IF(OR(N3="",O3=""),"",((O3-N3)/1.18)/N3)</f>
        <v>0.137039217977418</v>
      </c>
      <c r="S3" s="15" t="str">
        <f aca="false">IF(OR(P3="",O3=""),"",(P3-O3)/O3)</f>
        <v/>
      </c>
      <c r="T3" s="9" t="str">
        <f aca="false">IF(AND(D3="",G3&lt;&gt;""),"no dates - assumed 1 night",IF(Q3="","",IF(Q3&gt;1.5,"check: markup &gt;150%",IF(Q3&lt;0,"below cost",""))))</f>
        <v/>
      </c>
    </row>
    <row r="4" customFormat="false" ht="15" hidden="false" customHeight="false" outlineLevel="0" collapsed="false">
      <c r="A4" s="9" t="s">
        <v>13</v>
      </c>
      <c r="B4" s="9" t="s">
        <v>178</v>
      </c>
      <c r="C4" s="9" t="s">
        <v>54</v>
      </c>
      <c r="D4" s="10" t="s">
        <v>129</v>
      </c>
      <c r="E4" s="10" t="s">
        <v>130</v>
      </c>
      <c r="F4" s="9" t="n">
        <f aca="false">IF(OR(D4="",E4=""),1,MAX(1,DATEVALUE(E4)-DATEVALUE(D4)))</f>
        <v>3</v>
      </c>
      <c r="G4" s="11" t="n">
        <v>453009</v>
      </c>
      <c r="H4" s="11" t="n">
        <v>525969</v>
      </c>
      <c r="I4" s="11"/>
      <c r="J4" s="11"/>
      <c r="K4" s="11"/>
      <c r="L4" s="12"/>
      <c r="M4" s="13"/>
      <c r="N4" s="14" t="n">
        <f aca="false">IF(G4="","",G4/F4)</f>
        <v>151003</v>
      </c>
      <c r="O4" s="14" t="n">
        <f aca="false">IF(COUNT(H4:K4)=0,"",MIN(H4:K4)/F4)</f>
        <v>175323</v>
      </c>
      <c r="P4" s="14" t="str">
        <f aca="false">IF(L4="","",L4*95/F4)</f>
        <v/>
      </c>
      <c r="Q4" s="15" t="n">
        <f aca="false">IF(OR(N4="",O4=""),"",(IF(AND(N4&gt;7500,O4&gt;7500),O4/(1+IF(O4&lt;=1000,0,IF(O4&lt;=7500,0.05,0.18)))-IF(AND(N4&gt;7500,O4&gt;7500),N4/1.18,N4),(O4-IF(AND(N4&gt;7500,O4&gt;7500),N4/1.18,N4))/(1+IF(O4&lt;=1000,0,IF(O4&lt;=7500,0.05,0.18)))))/(IF(AND(N4&gt;7500,O4&gt;7500),N4/1.18,N4)))</f>
        <v>0.161056402852923</v>
      </c>
      <c r="R4" s="15" t="n">
        <f aca="false">IF(OR(N4="",O4=""),"",((O4-N4)/1.18)/N4)</f>
        <v>0.136488476994003</v>
      </c>
      <c r="S4" s="15" t="str">
        <f aca="false">IF(OR(P4="",O4=""),"",(P4-O4)/O4)</f>
        <v/>
      </c>
      <c r="T4" s="9" t="str">
        <f aca="false">IF(AND(D4="",G4&lt;&gt;""),"no dates - assumed 1 night",IF(Q4="","",IF(Q4&gt;1.5,"check: markup &gt;150%",IF(Q4&lt;0,"below cost",""))))</f>
        <v/>
      </c>
    </row>
    <row r="5" customFormat="false" ht="15" hidden="false" customHeight="false" outlineLevel="0" collapsed="false">
      <c r="A5" s="9" t="s">
        <v>13</v>
      </c>
      <c r="B5" s="9" t="s">
        <v>179</v>
      </c>
      <c r="C5" s="9" t="s">
        <v>44</v>
      </c>
      <c r="D5" s="10" t="s">
        <v>103</v>
      </c>
      <c r="E5" s="10" t="s">
        <v>104</v>
      </c>
      <c r="F5" s="9" t="n">
        <f aca="false">IF(OR(D5="",E5=""),1,MAX(1,DATEVALUE(E5)-DATEVALUE(D5)))</f>
        <v>3</v>
      </c>
      <c r="G5" s="11" t="n">
        <v>22089</v>
      </c>
      <c r="H5" s="11" t="n">
        <v>22452</v>
      </c>
      <c r="I5" s="11"/>
      <c r="J5" s="11"/>
      <c r="K5" s="11"/>
      <c r="L5" s="12"/>
      <c r="M5" s="13"/>
      <c r="N5" s="14" t="n">
        <f aca="false">IF(G5="","",G5/F5)</f>
        <v>7363</v>
      </c>
      <c r="O5" s="14" t="n">
        <f aca="false">IF(COUNT(H5:K5)=0,"",MIN(H5:K5)/F5)</f>
        <v>7484</v>
      </c>
      <c r="P5" s="14" t="str">
        <f aca="false">IF(L5="","",L5*95/F5)</f>
        <v/>
      </c>
      <c r="Q5" s="15" t="n">
        <f aca="false">IF(OR(N5="",O5=""),"",(IF(AND(N5&gt;7500,O5&gt;7500),O5/(1+IF(O5&lt;=1000,0,IF(O5&lt;=7500,0.05,0.18)))-IF(AND(N5&gt;7500,O5&gt;7500),N5/1.18,N5),(O5-IF(AND(N5&gt;7500,O5&gt;7500),N5/1.18,N5))/(1+IF(O5&lt;=1000,0,IF(O5&lt;=7500,0.05,0.18)))))/(IF(AND(N5&gt;7500,O5&gt;7500),N5/1.18,N5)))</f>
        <v>0.0156509704248398</v>
      </c>
      <c r="R5" s="15" t="n">
        <f aca="false">IF(OR(N5="",O5=""),"",((O5-N5)/1.18)/N5)</f>
        <v>0.0139267109712557</v>
      </c>
      <c r="S5" s="15" t="str">
        <f aca="false">IF(OR(P5="",O5=""),"",(P5-O5)/O5)</f>
        <v/>
      </c>
      <c r="T5" s="9" t="str">
        <f aca="false">IF(AND(D5="",G5&lt;&gt;""),"no dates - assumed 1 night",IF(Q5="","",IF(Q5&gt;1.5,"check: markup &gt;150%",IF(Q5&lt;0,"below cost",""))))</f>
        <v/>
      </c>
    </row>
    <row r="6" customFormat="false" ht="15" hidden="false" customHeight="false" outlineLevel="0" collapsed="false">
      <c r="A6" s="9" t="s">
        <v>13</v>
      </c>
      <c r="B6" s="9" t="s">
        <v>179</v>
      </c>
      <c r="C6" s="9" t="s">
        <v>47</v>
      </c>
      <c r="D6" s="10" t="s">
        <v>127</v>
      </c>
      <c r="E6" s="10" t="s">
        <v>128</v>
      </c>
      <c r="F6" s="9" t="n">
        <f aca="false">IF(OR(D6="",E6=""),1,MAX(1,DATEVALUE(E6)-DATEVALUE(D6)))</f>
        <v>3</v>
      </c>
      <c r="G6" s="11" t="n">
        <v>23493</v>
      </c>
      <c r="H6" s="11" t="n">
        <v>27287</v>
      </c>
      <c r="I6" s="11"/>
      <c r="J6" s="11"/>
      <c r="K6" s="11"/>
      <c r="L6" s="12"/>
      <c r="M6" s="13"/>
      <c r="N6" s="14" t="n">
        <f aca="false">IF(G6="","",G6/F6)</f>
        <v>7831</v>
      </c>
      <c r="O6" s="14" t="n">
        <f aca="false">IF(COUNT(H6:K6)=0,"",MIN(H6:K6)/F6)</f>
        <v>9095.66666666667</v>
      </c>
      <c r="P6" s="14" t="str">
        <f aca="false">IF(L6="","",L6*95/F6)</f>
        <v/>
      </c>
      <c r="Q6" s="15" t="n">
        <f aca="false">IF(OR(N6="",O6=""),"",(IF(AND(N6&gt;7500,O6&gt;7500),O6/(1+IF(O6&lt;=1000,0,IF(O6&lt;=7500,0.05,0.18)))-IF(AND(N6&gt;7500,O6&gt;7500),N6/1.18,N6),(O6-IF(AND(N6&gt;7500,O6&gt;7500),N6/1.18,N6))/(1+IF(O6&lt;=1000,0,IF(O6&lt;=7500,0.05,0.18)))))/(IF(AND(N6&gt;7500,O6&gt;7500),N6/1.18,N6)))</f>
        <v>0.161494913378453</v>
      </c>
      <c r="R6" s="15" t="n">
        <f aca="false">IF(OR(N6="",O6=""),"",((O6-N6)/1.18)/N6)</f>
        <v>0.136860096083435</v>
      </c>
      <c r="S6" s="15" t="str">
        <f aca="false">IF(OR(P6="",O6=""),"",(P6-O6)/O6)</f>
        <v/>
      </c>
      <c r="T6" s="9" t="str">
        <f aca="false">IF(AND(D6="",G6&lt;&gt;""),"no dates - assumed 1 night",IF(Q6="","",IF(Q6&gt;1.5,"check: markup &gt;150%",IF(Q6&lt;0,"below cost",""))))</f>
        <v/>
      </c>
    </row>
    <row r="7" customFormat="false" ht="15" hidden="false" customHeight="false" outlineLevel="0" collapsed="false">
      <c r="A7" s="9" t="s">
        <v>13</v>
      </c>
      <c r="B7" s="9" t="s">
        <v>179</v>
      </c>
      <c r="C7" s="9" t="s">
        <v>50</v>
      </c>
      <c r="D7" s="10" t="s">
        <v>48</v>
      </c>
      <c r="E7" s="10" t="s">
        <v>49</v>
      </c>
      <c r="F7" s="9" t="n">
        <f aca="false">IF(OR(D7="",E7=""),1,MAX(1,DATEVALUE(E7)-DATEVALUE(D7)))</f>
        <v>3</v>
      </c>
      <c r="G7" s="11" t="n">
        <v>23493</v>
      </c>
      <c r="H7" s="11" t="n">
        <v>27287</v>
      </c>
      <c r="I7" s="11"/>
      <c r="J7" s="11"/>
      <c r="K7" s="11"/>
      <c r="L7" s="12"/>
      <c r="M7" s="13"/>
      <c r="N7" s="14" t="n">
        <f aca="false">IF(G7="","",G7/F7)</f>
        <v>7831</v>
      </c>
      <c r="O7" s="14" t="n">
        <f aca="false">IF(COUNT(H7:K7)=0,"",MIN(H7:K7)/F7)</f>
        <v>9095.66666666667</v>
      </c>
      <c r="P7" s="14" t="str">
        <f aca="false">IF(L7="","",L7*95/F7)</f>
        <v/>
      </c>
      <c r="Q7" s="15" t="n">
        <f aca="false">IF(OR(N7="",O7=""),"",(IF(AND(N7&gt;7500,O7&gt;7500),O7/(1+IF(O7&lt;=1000,0,IF(O7&lt;=7500,0.05,0.18)))-IF(AND(N7&gt;7500,O7&gt;7500),N7/1.18,N7),(O7-IF(AND(N7&gt;7500,O7&gt;7500),N7/1.18,N7))/(1+IF(O7&lt;=1000,0,IF(O7&lt;=7500,0.05,0.18)))))/(IF(AND(N7&gt;7500,O7&gt;7500),N7/1.18,N7)))</f>
        <v>0.161494913378453</v>
      </c>
      <c r="R7" s="15" t="n">
        <f aca="false">IF(OR(N7="",O7=""),"",((O7-N7)/1.18)/N7)</f>
        <v>0.136860096083435</v>
      </c>
      <c r="S7" s="15" t="str">
        <f aca="false">IF(OR(P7="",O7=""),"",(P7-O7)/O7)</f>
        <v/>
      </c>
      <c r="T7" s="9" t="str">
        <f aca="false">IF(AND(D7="",G7&lt;&gt;""),"no dates - assumed 1 night",IF(Q7="","",IF(Q7&gt;1.5,"check: markup &gt;150%",IF(Q7&lt;0,"below cost",""))))</f>
        <v/>
      </c>
    </row>
    <row r="8" customFormat="false" ht="15" hidden="false" customHeight="false" outlineLevel="0" collapsed="false">
      <c r="A8" s="9" t="s">
        <v>13</v>
      </c>
      <c r="B8" s="9" t="s">
        <v>179</v>
      </c>
      <c r="C8" s="9" t="s">
        <v>54</v>
      </c>
      <c r="D8" s="10" t="s">
        <v>129</v>
      </c>
      <c r="E8" s="10" t="s">
        <v>130</v>
      </c>
      <c r="F8" s="9" t="n">
        <f aca="false">IF(OR(D8="",E8=""),1,MAX(1,DATEVALUE(E8)-DATEVALUE(D8)))</f>
        <v>3</v>
      </c>
      <c r="G8" s="11" t="n">
        <v>23650</v>
      </c>
      <c r="H8" s="11" t="n">
        <v>26225</v>
      </c>
      <c r="I8" s="11"/>
      <c r="J8" s="11"/>
      <c r="K8" s="11"/>
      <c r="L8" s="12"/>
      <c r="M8" s="13"/>
      <c r="N8" s="14" t="n">
        <f aca="false">IF(G8="","",G8/F8)</f>
        <v>7883.33333333333</v>
      </c>
      <c r="O8" s="14" t="n">
        <f aca="false">IF(COUNT(H8:K8)=0,"",MIN(H8:K8)/F8)</f>
        <v>8741.66666666667</v>
      </c>
      <c r="P8" s="14" t="str">
        <f aca="false">IF(L8="","",L8*95/F8)</f>
        <v/>
      </c>
      <c r="Q8" s="15" t="n">
        <f aca="false">IF(OR(N8="",O8=""),"",(IF(AND(N8&gt;7500,O8&gt;7500),O8/(1+IF(O8&lt;=1000,0,IF(O8&lt;=7500,0.05,0.18)))-IF(AND(N8&gt;7500,O8&gt;7500),N8/1.18,N8),(O8-IF(AND(N8&gt;7500,O8&gt;7500),N8/1.18,N8))/(1+IF(O8&lt;=1000,0,IF(O8&lt;=7500,0.05,0.18)))))/(IF(AND(N8&gt;7500,O8&gt;7500),N8/1.18,N8)))</f>
        <v>0.108879492600423</v>
      </c>
      <c r="R8" s="15" t="n">
        <f aca="false">IF(OR(N8="",O8=""),"",((O8-N8)/1.18)/N8)</f>
        <v>0.0922707564410363</v>
      </c>
      <c r="S8" s="15" t="str">
        <f aca="false">IF(OR(P8="",O8=""),"",(P8-O8)/O8)</f>
        <v/>
      </c>
      <c r="T8" s="9" t="str">
        <f aca="false">IF(AND(D8="",G8&lt;&gt;""),"no dates - assumed 1 night",IF(Q8="","",IF(Q8&gt;1.5,"check: markup &gt;150%",IF(Q8&lt;0,"below cost",""))))</f>
        <v/>
      </c>
    </row>
    <row r="9" customFormat="false" ht="15" hidden="false" customHeight="false" outlineLevel="0" collapsed="false">
      <c r="A9" s="9" t="s">
        <v>13</v>
      </c>
      <c r="B9" s="9" t="s">
        <v>180</v>
      </c>
      <c r="C9" s="9" t="s">
        <v>44</v>
      </c>
      <c r="D9" s="10" t="s">
        <v>103</v>
      </c>
      <c r="E9" s="10" t="s">
        <v>104</v>
      </c>
      <c r="F9" s="9" t="n">
        <f aca="false">IF(OR(D9="",E9=""),1,MAX(1,DATEVALUE(E9)-DATEVALUE(D9)))</f>
        <v>3</v>
      </c>
      <c r="G9" s="11" t="n">
        <v>20349</v>
      </c>
      <c r="H9" s="11" t="n">
        <v>26399</v>
      </c>
      <c r="I9" s="11"/>
      <c r="J9" s="11"/>
      <c r="K9" s="11"/>
      <c r="L9" s="12"/>
      <c r="M9" s="13"/>
      <c r="N9" s="14" t="n">
        <f aca="false">IF(G9="","",G9/F9)</f>
        <v>6783</v>
      </c>
      <c r="O9" s="14" t="n">
        <f aca="false">IF(COUNT(H9:K9)=0,"",MIN(H9:K9)/F9)</f>
        <v>8799.66666666667</v>
      </c>
      <c r="P9" s="14" t="str">
        <f aca="false">IF(L9="","",L9*95/F9)</f>
        <v/>
      </c>
      <c r="Q9" s="15" t="n">
        <f aca="false">IF(OR(N9="",O9=""),"",(IF(AND(N9&gt;7500,O9&gt;7500),O9/(1+IF(O9&lt;=1000,0,IF(O9&lt;=7500,0.05,0.18)))-IF(AND(N9&gt;7500,O9&gt;7500),N9/1.18,N9),(O9-IF(AND(N9&gt;7500,O9&gt;7500),N9/1.18,N9))/(1+IF(O9&lt;=1000,0,IF(O9&lt;=7500,0.05,0.18)))))/(IF(AND(N9&gt;7500,O9&gt;7500),N9/1.18,N9)))</f>
        <v>0.251959243405956</v>
      </c>
      <c r="R9" s="15" t="n">
        <f aca="false">IF(OR(N9="",O9=""),"",((O9-N9)/1.18)/N9)</f>
        <v>0.251959243405956</v>
      </c>
      <c r="S9" s="15" t="str">
        <f aca="false">IF(OR(P9="",O9=""),"",(P9-O9)/O9)</f>
        <v/>
      </c>
      <c r="T9" s="9" t="str">
        <f aca="false">IF(AND(D9="",G9&lt;&gt;""),"no dates - assumed 1 night",IF(Q9="","",IF(Q9&gt;1.5,"check: markup &gt;150%",IF(Q9&lt;0,"below cost",""))))</f>
        <v/>
      </c>
    </row>
    <row r="10" customFormat="false" ht="15" hidden="false" customHeight="false" outlineLevel="0" collapsed="false">
      <c r="A10" s="9" t="s">
        <v>13</v>
      </c>
      <c r="B10" s="9" t="s">
        <v>180</v>
      </c>
      <c r="C10" s="9" t="s">
        <v>47</v>
      </c>
      <c r="D10" s="10" t="s">
        <v>127</v>
      </c>
      <c r="E10" s="10" t="s">
        <v>128</v>
      </c>
      <c r="F10" s="9" t="n">
        <f aca="false">IF(OR(D10="",E10=""),1,MAX(1,DATEVALUE(E10)-DATEVALUE(D10)))</f>
        <v>3</v>
      </c>
      <c r="G10" s="11" t="n">
        <v>20349</v>
      </c>
      <c r="H10" s="11" t="n">
        <v>26399</v>
      </c>
      <c r="I10" s="11"/>
      <c r="J10" s="11"/>
      <c r="K10" s="11"/>
      <c r="L10" s="12"/>
      <c r="M10" s="13"/>
      <c r="N10" s="14" t="n">
        <f aca="false">IF(G10="","",G10/F10)</f>
        <v>6783</v>
      </c>
      <c r="O10" s="14" t="n">
        <f aca="false">IF(COUNT(H10:K10)=0,"",MIN(H10:K10)/F10)</f>
        <v>8799.66666666667</v>
      </c>
      <c r="P10" s="14" t="str">
        <f aca="false">IF(L10="","",L10*95/F10)</f>
        <v/>
      </c>
      <c r="Q10" s="15" t="n">
        <f aca="false">IF(OR(N10="",O10=""),"",(IF(AND(N10&gt;7500,O10&gt;7500),O10/(1+IF(O10&lt;=1000,0,IF(O10&lt;=7500,0.05,0.18)))-IF(AND(N10&gt;7500,O10&gt;7500),N10/1.18,N10),(O10-IF(AND(N10&gt;7500,O10&gt;7500),N10/1.18,N10))/(1+IF(O10&lt;=1000,0,IF(O10&lt;=7500,0.05,0.18)))))/(IF(AND(N10&gt;7500,O10&gt;7500),N10/1.18,N10)))</f>
        <v>0.251959243405956</v>
      </c>
      <c r="R10" s="15" t="n">
        <f aca="false">IF(OR(N10="",O10=""),"",((O10-N10)/1.18)/N10)</f>
        <v>0.251959243405956</v>
      </c>
      <c r="S10" s="15" t="str">
        <f aca="false">IF(OR(P10="",O10=""),"",(P10-O10)/O10)</f>
        <v/>
      </c>
      <c r="T10" s="9" t="str">
        <f aca="false">IF(AND(D10="",G10&lt;&gt;""),"no dates - assumed 1 night",IF(Q10="","",IF(Q10&gt;1.5,"check: markup &gt;150%",IF(Q10&lt;0,"below cost",""))))</f>
        <v/>
      </c>
    </row>
    <row r="11" customFormat="false" ht="15" hidden="false" customHeight="false" outlineLevel="0" collapsed="false">
      <c r="A11" s="9" t="s">
        <v>13</v>
      </c>
      <c r="B11" s="9" t="s">
        <v>180</v>
      </c>
      <c r="C11" s="9" t="s">
        <v>50</v>
      </c>
      <c r="D11" s="10" t="s">
        <v>48</v>
      </c>
      <c r="E11" s="10" t="s">
        <v>49</v>
      </c>
      <c r="F11" s="9" t="n">
        <f aca="false">IF(OR(D11="",E11=""),1,MAX(1,DATEVALUE(E11)-DATEVALUE(D11)))</f>
        <v>3</v>
      </c>
      <c r="G11" s="11" t="n">
        <v>29925</v>
      </c>
      <c r="H11" s="11" t="n">
        <v>30790</v>
      </c>
      <c r="I11" s="11"/>
      <c r="J11" s="11"/>
      <c r="K11" s="11"/>
      <c r="L11" s="12"/>
      <c r="M11" s="13"/>
      <c r="N11" s="14" t="n">
        <f aca="false">IF(G11="","",G11/F11)</f>
        <v>9975</v>
      </c>
      <c r="O11" s="14" t="n">
        <f aca="false">IF(COUNT(H11:K11)=0,"",MIN(H11:K11)/F11)</f>
        <v>10263.3333333333</v>
      </c>
      <c r="P11" s="14" t="str">
        <f aca="false">IF(L11="","",L11*95/F11)</f>
        <v/>
      </c>
      <c r="Q11" s="15" t="n">
        <f aca="false">IF(OR(N11="",O11=""),"",(IF(AND(N11&gt;7500,O11&gt;7500),O11/(1+IF(O11&lt;=1000,0,IF(O11&lt;=7500,0.05,0.18)))-IF(AND(N11&gt;7500,O11&gt;7500),N11/1.18,N11),(O11-IF(AND(N11&gt;7500,O11&gt;7500),N11/1.18,N11))/(1+IF(O11&lt;=1000,0,IF(O11&lt;=7500,0.05,0.18)))))/(IF(AND(N11&gt;7500,O11&gt;7500),N11/1.18,N11)))</f>
        <v>0.0289055973266501</v>
      </c>
      <c r="R11" s="15" t="n">
        <f aca="false">IF(OR(N11="",O11=""),"",((O11-N11)/1.18)/N11)</f>
        <v>0.0244962689208898</v>
      </c>
      <c r="S11" s="15" t="str">
        <f aca="false">IF(OR(P11="",O11=""),"",(P11-O11)/O11)</f>
        <v/>
      </c>
      <c r="T11" s="9" t="str">
        <f aca="false">IF(AND(D11="",G11&lt;&gt;""),"no dates - assumed 1 night",IF(Q11="","",IF(Q11&gt;1.5,"check: markup &gt;150%",IF(Q11&lt;0,"below cost",""))))</f>
        <v/>
      </c>
    </row>
    <row r="12" customFormat="false" ht="15" hidden="false" customHeight="false" outlineLevel="0" collapsed="false">
      <c r="A12" s="9" t="s">
        <v>13</v>
      </c>
      <c r="B12" s="9" t="s">
        <v>180</v>
      </c>
      <c r="C12" s="9" t="s">
        <v>54</v>
      </c>
      <c r="D12" s="10" t="s">
        <v>129</v>
      </c>
      <c r="E12" s="10" t="s">
        <v>130</v>
      </c>
      <c r="F12" s="9" t="n">
        <f aca="false">IF(OR(D12="",E12=""),1,MAX(1,DATEVALUE(E12)-DATEVALUE(D12)))</f>
        <v>3</v>
      </c>
      <c r="G12" s="11" t="n">
        <v>28587</v>
      </c>
      <c r="H12" s="11" t="n">
        <v>31179</v>
      </c>
      <c r="I12" s="11"/>
      <c r="J12" s="11"/>
      <c r="K12" s="11"/>
      <c r="L12" s="12"/>
      <c r="M12" s="13"/>
      <c r="N12" s="14" t="n">
        <f aca="false">IF(G12="","",G12/F12)</f>
        <v>9529</v>
      </c>
      <c r="O12" s="14" t="n">
        <f aca="false">IF(COUNT(H12:K12)=0,"",MIN(H12:K12)/F12)</f>
        <v>10393</v>
      </c>
      <c r="P12" s="14" t="str">
        <f aca="false">IF(L12="","",L12*95/F12)</f>
        <v/>
      </c>
      <c r="Q12" s="15" t="n">
        <f aca="false">IF(OR(N12="",O12=""),"",(IF(AND(N12&gt;7500,O12&gt;7500),O12/(1+IF(O12&lt;=1000,0,IF(O12&lt;=7500,0.05,0.18)))-IF(AND(N12&gt;7500,O12&gt;7500),N12/1.18,N12),(O12-IF(AND(N12&gt;7500,O12&gt;7500),N12/1.18,N12))/(1+IF(O12&lt;=1000,0,IF(O12&lt;=7500,0.05,0.18)))))/(IF(AND(N12&gt;7500,O12&gt;7500),N12/1.18,N12)))</f>
        <v>0.0906705845314303</v>
      </c>
      <c r="R12" s="15" t="n">
        <f aca="false">IF(OR(N12="",O12=""),"",((O12-N12)/1.18)/N12)</f>
        <v>0.0768394784164664</v>
      </c>
      <c r="S12" s="15" t="str">
        <f aca="false">IF(OR(P12="",O12=""),"",(P12-O12)/O12)</f>
        <v/>
      </c>
      <c r="T12" s="9" t="str">
        <f aca="false">IF(AND(D12="",G12&lt;&gt;""),"no dates - assumed 1 night",IF(Q12="","",IF(Q12&gt;1.5,"check: markup &gt;150%",IF(Q12&lt;0,"below cost",""))))</f>
        <v/>
      </c>
    </row>
    <row r="13" customFormat="false" ht="15" hidden="false" customHeight="false" outlineLevel="0" collapsed="false">
      <c r="A13" s="9" t="s">
        <v>13</v>
      </c>
      <c r="B13" s="9" t="s">
        <v>181</v>
      </c>
      <c r="C13" s="9" t="s">
        <v>47</v>
      </c>
      <c r="D13" s="10" t="s">
        <v>127</v>
      </c>
      <c r="E13" s="10" t="s">
        <v>128</v>
      </c>
      <c r="F13" s="9" t="n">
        <f aca="false">IF(OR(D13="",E13=""),1,MAX(1,DATEVALUE(E13)-DATEVALUE(D13)))</f>
        <v>3</v>
      </c>
      <c r="G13" s="11" t="n">
        <v>35936</v>
      </c>
      <c r="H13" s="11" t="n">
        <v>38409</v>
      </c>
      <c r="I13" s="11"/>
      <c r="J13" s="11"/>
      <c r="K13" s="11"/>
      <c r="L13" s="12" t="n">
        <v>428</v>
      </c>
      <c r="M13" s="13"/>
      <c r="N13" s="14" t="n">
        <f aca="false">IF(G13="","",G13/F13)</f>
        <v>11978.6666666667</v>
      </c>
      <c r="O13" s="14" t="n">
        <f aca="false">IF(COUNT(H13:K13)=0,"",MIN(H13:K13)/F13)</f>
        <v>12803</v>
      </c>
      <c r="P13" s="14" t="n">
        <f aca="false">IF(L13="","",L13*95/F13)</f>
        <v>13553.3333333333</v>
      </c>
      <c r="Q13" s="15" t="n">
        <f aca="false">IF(OR(N13="",O13=""),"",(IF(AND(N13&gt;7500,O13&gt;7500),O13/(1+IF(O13&lt;=1000,0,IF(O13&lt;=7500,0.05,0.18)))-IF(AND(N13&gt;7500,O13&gt;7500),N13/1.18,N13),(O13-IF(AND(N13&gt;7500,O13&gt;7500),N13/1.18,N13))/(1+IF(O13&lt;=1000,0,IF(O13&lt;=7500,0.05,0.18)))))/(IF(AND(N13&gt;7500,O13&gt;7500),N13/1.18,N13)))</f>
        <v>0.06881678539626</v>
      </c>
      <c r="R13" s="15" t="n">
        <f aca="false">IF(OR(N13="",O13=""),"",((O13-N13)/1.18)/N13)</f>
        <v>0.0583193096578475</v>
      </c>
      <c r="S13" s="15" t="n">
        <f aca="false">IF(OR(P13="",O13=""),"",(P13-O13)/O13)</f>
        <v>0.0586060558723216</v>
      </c>
      <c r="T13" s="9" t="str">
        <f aca="false">IF(AND(D13="",G13&lt;&gt;""),"no dates - assumed 1 night",IF(Q13="","",IF(Q13&gt;1.5,"check: markup &gt;150%",IF(Q13&lt;0,"below cost",""))))</f>
        <v/>
      </c>
    </row>
    <row r="14" customFormat="false" ht="15" hidden="false" customHeight="false" outlineLevel="0" collapsed="false">
      <c r="A14" s="9" t="s">
        <v>13</v>
      </c>
      <c r="B14" s="9" t="s">
        <v>181</v>
      </c>
      <c r="C14" s="9" t="s">
        <v>50</v>
      </c>
      <c r="D14" s="10" t="s">
        <v>48</v>
      </c>
      <c r="E14" s="10" t="s">
        <v>49</v>
      </c>
      <c r="F14" s="9" t="n">
        <f aca="false">IF(OR(D14="",E14=""),1,MAX(1,DATEVALUE(E14)-DATEVALUE(D14)))</f>
        <v>3</v>
      </c>
      <c r="G14" s="11" t="n">
        <v>34664</v>
      </c>
      <c r="H14" s="11" t="n">
        <v>37049</v>
      </c>
      <c r="I14" s="11"/>
      <c r="J14" s="11"/>
      <c r="K14" s="11"/>
      <c r="L14" s="12"/>
      <c r="M14" s="13"/>
      <c r="N14" s="14" t="n">
        <f aca="false">IF(G14="","",G14/F14)</f>
        <v>11554.6666666667</v>
      </c>
      <c r="O14" s="14" t="n">
        <f aca="false">IF(COUNT(H14:K14)=0,"",MIN(H14:K14)/F14)</f>
        <v>12349.6666666667</v>
      </c>
      <c r="P14" s="14" t="str">
        <f aca="false">IF(L14="","",L14*95/F14)</f>
        <v/>
      </c>
      <c r="Q14" s="15" t="n">
        <f aca="false">IF(OR(N14="",O14=""),"",(IF(AND(N14&gt;7500,O14&gt;7500),O14/(1+IF(O14&lt;=1000,0,IF(O14&lt;=7500,0.05,0.18)))-IF(AND(N14&gt;7500,O14&gt;7500),N14/1.18,N14),(O14-IF(AND(N14&gt;7500,O14&gt;7500),N14/1.18,N14))/(1+IF(O14&lt;=1000,0,IF(O14&lt;=7500,0.05,0.18)))))/(IF(AND(N14&gt;7500,O14&gt;7500),N14/1.18,N14)))</f>
        <v>0.0688033694899608</v>
      </c>
      <c r="R14" s="15" t="n">
        <f aca="false">IF(OR(N14="",O14=""),"",((O14-N14)/1.18)/N14)</f>
        <v>0.0583079402457295</v>
      </c>
      <c r="S14" s="15" t="str">
        <f aca="false">IF(OR(P14="",O14=""),"",(P14-O14)/O14)</f>
        <v/>
      </c>
      <c r="T14" s="9" t="str">
        <f aca="false">IF(AND(D14="",G14&lt;&gt;""),"no dates - assumed 1 night",IF(Q14="","",IF(Q14&gt;1.5,"check: markup &gt;150%",IF(Q14&lt;0,"below cost",""))))</f>
        <v/>
      </c>
    </row>
    <row r="15" customFormat="false" ht="15" hidden="false" customHeight="false" outlineLevel="0" collapsed="false">
      <c r="A15" s="9" t="s">
        <v>13</v>
      </c>
      <c r="B15" s="9" t="s">
        <v>181</v>
      </c>
      <c r="C15" s="9" t="s">
        <v>54</v>
      </c>
      <c r="D15" s="10" t="s">
        <v>129</v>
      </c>
      <c r="E15" s="10" t="s">
        <v>130</v>
      </c>
      <c r="F15" s="9" t="n">
        <f aca="false">IF(OR(D15="",E15=""),1,MAX(1,DATEVALUE(E15)-DATEVALUE(D15)))</f>
        <v>3</v>
      </c>
      <c r="G15" s="11" t="n">
        <v>35960</v>
      </c>
      <c r="H15" s="11" t="n">
        <v>38433</v>
      </c>
      <c r="I15" s="11"/>
      <c r="J15" s="11"/>
      <c r="K15" s="11"/>
      <c r="L15" s="12"/>
      <c r="M15" s="13"/>
      <c r="N15" s="14" t="n">
        <f aca="false">IF(G15="","",G15/F15)</f>
        <v>11986.6666666667</v>
      </c>
      <c r="O15" s="14" t="n">
        <f aca="false">IF(COUNT(H15:K15)=0,"",MIN(H15:K15)/F15)</f>
        <v>12811</v>
      </c>
      <c r="P15" s="14" t="str">
        <f aca="false">IF(L15="","",L15*95/F15)</f>
        <v/>
      </c>
      <c r="Q15" s="15" t="n">
        <f aca="false">IF(OR(N15="",O15=""),"",(IF(AND(N15&gt;7500,O15&gt;7500),O15/(1+IF(O15&lt;=1000,0,IF(O15&lt;=7500,0.05,0.18)))-IF(AND(N15&gt;7500,O15&gt;7500),N15/1.18,N15),(O15-IF(AND(N15&gt;7500,O15&gt;7500),N15/1.18,N15))/(1+IF(O15&lt;=1000,0,IF(O15&lt;=7500,0.05,0.18)))))/(IF(AND(N15&gt;7500,O15&gt;7500),N15/1.18,N15)))</f>
        <v>0.0687708565072304</v>
      </c>
      <c r="R15" s="15" t="n">
        <f aca="false">IF(OR(N15="",O15=""),"",((O15-N15)/1.18)/N15)</f>
        <v>0.0582803868705342</v>
      </c>
      <c r="S15" s="15" t="str">
        <f aca="false">IF(OR(P15="",O15=""),"",(P15-O15)/O15)</f>
        <v/>
      </c>
      <c r="T15" s="9" t="str">
        <f aca="false">IF(AND(D15="",G15&lt;&gt;""),"no dates - assumed 1 night",IF(Q15="","",IF(Q15&gt;1.5,"check: markup &gt;150%",IF(Q15&lt;0,"below cost",""))))</f>
        <v/>
      </c>
    </row>
    <row r="16" customFormat="false" ht="15" hidden="false" customHeight="false" outlineLevel="0" collapsed="false">
      <c r="A16" s="9" t="s">
        <v>13</v>
      </c>
      <c r="B16" s="9" t="s">
        <v>182</v>
      </c>
      <c r="C16" s="9" t="s">
        <v>47</v>
      </c>
      <c r="D16" s="10" t="s">
        <v>183</v>
      </c>
      <c r="E16" s="10" t="s">
        <v>184</v>
      </c>
      <c r="F16" s="9" t="n">
        <f aca="false">IF(OR(D16="",E16=""),1,MAX(1,DATEVALUE(E16)-DATEVALUE(D16)))</f>
        <v>2</v>
      </c>
      <c r="G16" s="11" t="n">
        <v>12435</v>
      </c>
      <c r="H16" s="11" t="n">
        <v>13170</v>
      </c>
      <c r="I16" s="11"/>
      <c r="J16" s="11"/>
      <c r="K16" s="11"/>
      <c r="L16" s="12"/>
      <c r="M16" s="13"/>
      <c r="N16" s="14" t="n">
        <f aca="false">IF(G16="","",G16/F16)</f>
        <v>6217.5</v>
      </c>
      <c r="O16" s="14" t="n">
        <f aca="false">IF(COUNT(H16:K16)=0,"",MIN(H16:K16)/F16)</f>
        <v>6585</v>
      </c>
      <c r="P16" s="14" t="str">
        <f aca="false">IF(L16="","",L16*95/F16)</f>
        <v/>
      </c>
      <c r="Q16" s="15" t="n">
        <f aca="false">IF(OR(N16="",O16=""),"",(IF(AND(N16&gt;7500,O16&gt;7500),O16/(1+IF(O16&lt;=1000,0,IF(O16&lt;=7500,0.05,0.18)))-IF(AND(N16&gt;7500,O16&gt;7500),N16/1.18,N16),(O16-IF(AND(N16&gt;7500,O16&gt;7500),N16/1.18,N16))/(1+IF(O16&lt;=1000,0,IF(O16&lt;=7500,0.05,0.18)))))/(IF(AND(N16&gt;7500,O16&gt;7500),N16/1.18,N16)))</f>
        <v>0.0562927221552071</v>
      </c>
      <c r="R16" s="15" t="n">
        <f aca="false">IF(OR(N16="",O16=""),"",((O16-N16)/1.18)/N16)</f>
        <v>0.050090981578786</v>
      </c>
      <c r="S16" s="15" t="str">
        <f aca="false">IF(OR(P16="",O16=""),"",(P16-O16)/O16)</f>
        <v/>
      </c>
      <c r="T16" s="9" t="str">
        <f aca="false">IF(AND(D16="",G16&lt;&gt;""),"no dates - assumed 1 night",IF(Q16="","",IF(Q16&gt;1.5,"check: markup &gt;150%",IF(Q16&lt;0,"below cost",""))))</f>
        <v/>
      </c>
    </row>
    <row r="17" customFormat="false" ht="15" hidden="false" customHeight="false" outlineLevel="0" collapsed="false">
      <c r="A17" s="9" t="s">
        <v>13</v>
      </c>
      <c r="B17" s="9" t="s">
        <v>185</v>
      </c>
      <c r="C17" s="9" t="s">
        <v>44</v>
      </c>
      <c r="D17" s="10" t="s">
        <v>103</v>
      </c>
      <c r="E17" s="10" t="s">
        <v>104</v>
      </c>
      <c r="F17" s="9" t="n">
        <f aca="false">IF(OR(D17="",E17=""),1,MAX(1,DATEVALUE(E17)-DATEVALUE(D17)))</f>
        <v>3</v>
      </c>
      <c r="G17" s="11" t="n">
        <v>37184</v>
      </c>
      <c r="H17" s="11" t="n">
        <v>41297</v>
      </c>
      <c r="I17" s="11"/>
      <c r="J17" s="11"/>
      <c r="K17" s="11"/>
      <c r="L17" s="12"/>
      <c r="M17" s="13"/>
      <c r="N17" s="14" t="n">
        <f aca="false">IF(G17="","",G17/F17)</f>
        <v>12394.6666666667</v>
      </c>
      <c r="O17" s="14" t="n">
        <f aca="false">IF(COUNT(H17:K17)=0,"",MIN(H17:K17)/F17)</f>
        <v>13765.6666666667</v>
      </c>
      <c r="P17" s="14" t="str">
        <f aca="false">IF(L17="","",L17*95/F17)</f>
        <v/>
      </c>
      <c r="Q17" s="15" t="n">
        <f aca="false">IF(OR(N17="",O17=""),"",(IF(AND(N17&gt;7500,O17&gt;7500),O17/(1+IF(O17&lt;=1000,0,IF(O17&lt;=7500,0.05,0.18)))-IF(AND(N17&gt;7500,O17&gt;7500),N17/1.18,N17),(O17-IF(AND(N17&gt;7500,O17&gt;7500),N17/1.18,N17))/(1+IF(O17&lt;=1000,0,IF(O17&lt;=7500,0.05,0.18)))))/(IF(AND(N17&gt;7500,O17&gt;7500),N17/1.18,N17)))</f>
        <v>0.110612091222031</v>
      </c>
      <c r="R17" s="15" t="n">
        <f aca="false">IF(OR(N17="",O17=""),"",((O17-N17)/1.18)/N17)</f>
        <v>0.0937390603576534</v>
      </c>
      <c r="S17" s="15" t="str">
        <f aca="false">IF(OR(P17="",O17=""),"",(P17-O17)/O17)</f>
        <v/>
      </c>
      <c r="T17" s="9" t="str">
        <f aca="false">IF(AND(D17="",G17&lt;&gt;""),"no dates - assumed 1 night",IF(Q17="","",IF(Q17&gt;1.5,"check: markup &gt;150%",IF(Q17&lt;0,"below cost",""))))</f>
        <v/>
      </c>
    </row>
    <row r="18" customFormat="false" ht="15" hidden="false" customHeight="false" outlineLevel="0" collapsed="false">
      <c r="A18" s="9" t="s">
        <v>13</v>
      </c>
      <c r="B18" s="9" t="s">
        <v>185</v>
      </c>
      <c r="C18" s="9" t="s">
        <v>47</v>
      </c>
      <c r="D18" s="10" t="s">
        <v>127</v>
      </c>
      <c r="E18" s="10" t="s">
        <v>128</v>
      </c>
      <c r="F18" s="9" t="n">
        <f aca="false">IF(OR(D18="",E18=""),1,MAX(1,DATEVALUE(E18)-DATEVALUE(D18)))</f>
        <v>3</v>
      </c>
      <c r="G18" s="11" t="n">
        <v>52105</v>
      </c>
      <c r="H18" s="11" t="n">
        <v>55557</v>
      </c>
      <c r="I18" s="11"/>
      <c r="J18" s="11"/>
      <c r="K18" s="11"/>
      <c r="L18" s="12"/>
      <c r="M18" s="13"/>
      <c r="N18" s="14" t="n">
        <f aca="false">IF(G18="","",G18/F18)</f>
        <v>17368.3333333333</v>
      </c>
      <c r="O18" s="14" t="n">
        <f aca="false">IF(COUNT(H18:K18)=0,"",MIN(H18:K18)/F18)</f>
        <v>18519</v>
      </c>
      <c r="P18" s="14" t="str">
        <f aca="false">IF(L18="","",L18*95/F18)</f>
        <v/>
      </c>
      <c r="Q18" s="15" t="n">
        <f aca="false">IF(OR(N18="",O18=""),"",(IF(AND(N18&gt;7500,O18&gt;7500),O18/(1+IF(O18&lt;=1000,0,IF(O18&lt;=7500,0.05,0.18)))-IF(AND(N18&gt;7500,O18&gt;7500),N18/1.18,N18),(O18-IF(AND(N18&gt;7500,O18&gt;7500),N18/1.18,N18))/(1+IF(O18&lt;=1000,0,IF(O18&lt;=7500,0.05,0.18)))))/(IF(AND(N18&gt;7500,O18&gt;7500),N18/1.18,N18)))</f>
        <v>0.0662508396507054</v>
      </c>
      <c r="R18" s="15" t="n">
        <f aca="false">IF(OR(N18="",O18=""),"",((O18-N18)/1.18)/N18)</f>
        <v>0.0561447793650046</v>
      </c>
      <c r="S18" s="15" t="str">
        <f aca="false">IF(OR(P18="",O18=""),"",(P18-O18)/O18)</f>
        <v/>
      </c>
      <c r="T18" s="9" t="str">
        <f aca="false">IF(AND(D18="",G18&lt;&gt;""),"no dates - assumed 1 night",IF(Q18="","",IF(Q18&gt;1.5,"check: markup &gt;150%",IF(Q18&lt;0,"below cost",""))))</f>
        <v/>
      </c>
    </row>
    <row r="19" customFormat="false" ht="15" hidden="false" customHeight="false" outlineLevel="0" collapsed="false">
      <c r="A19" s="9" t="s">
        <v>13</v>
      </c>
      <c r="B19" s="9" t="s">
        <v>185</v>
      </c>
      <c r="C19" s="9" t="s">
        <v>50</v>
      </c>
      <c r="D19" s="10" t="s">
        <v>48</v>
      </c>
      <c r="E19" s="10" t="s">
        <v>49</v>
      </c>
      <c r="F19" s="9" t="n">
        <f aca="false">IF(OR(D19="",E19=""),1,MAX(1,DATEVALUE(E19)-DATEVALUE(D19)))</f>
        <v>3</v>
      </c>
      <c r="G19" s="11" t="n">
        <v>43215</v>
      </c>
      <c r="H19" s="11" t="n">
        <v>53259</v>
      </c>
      <c r="I19" s="11"/>
      <c r="J19" s="11"/>
      <c r="K19" s="11"/>
      <c r="L19" s="12"/>
      <c r="M19" s="13"/>
      <c r="N19" s="14" t="n">
        <f aca="false">IF(G19="","",G19/F19)</f>
        <v>14405</v>
      </c>
      <c r="O19" s="14" t="n">
        <f aca="false">IF(COUNT(H19:K19)=0,"",MIN(H19:K19)/F19)</f>
        <v>17753</v>
      </c>
      <c r="P19" s="14" t="str">
        <f aca="false">IF(L19="","",L19*95/F19)</f>
        <v/>
      </c>
      <c r="Q19" s="15" t="n">
        <f aca="false">IF(OR(N19="",O19=""),"",(IF(AND(N19&gt;7500,O19&gt;7500),O19/(1+IF(O19&lt;=1000,0,IF(O19&lt;=7500,0.05,0.18)))-IF(AND(N19&gt;7500,O19&gt;7500),N19/1.18,N19),(O19-IF(AND(N19&gt;7500,O19&gt;7500),N19/1.18,N19))/(1+IF(O19&lt;=1000,0,IF(O19&lt;=7500,0.05,0.18)))))/(IF(AND(N19&gt;7500,O19&gt;7500),N19/1.18,N19)))</f>
        <v>0.232419298854564</v>
      </c>
      <c r="R19" s="15" t="n">
        <f aca="false">IF(OR(N19="",O19=""),"",((O19-N19)/1.18)/N19)</f>
        <v>0.196965507503868</v>
      </c>
      <c r="S19" s="15" t="str">
        <f aca="false">IF(OR(P19="",O19=""),"",(P19-O19)/O19)</f>
        <v/>
      </c>
      <c r="T19" s="9" t="str">
        <f aca="false">IF(AND(D19="",G19&lt;&gt;""),"no dates - assumed 1 night",IF(Q19="","",IF(Q19&gt;1.5,"check: markup &gt;150%",IF(Q19&lt;0,"below cost",""))))</f>
        <v/>
      </c>
    </row>
    <row r="20" customFormat="false" ht="15" hidden="false" customHeight="false" outlineLevel="0" collapsed="false">
      <c r="A20" s="9" t="s">
        <v>13</v>
      </c>
      <c r="B20" s="9" t="s">
        <v>185</v>
      </c>
      <c r="C20" s="9" t="s">
        <v>54</v>
      </c>
      <c r="D20" s="10" t="s">
        <v>129</v>
      </c>
      <c r="E20" s="10" t="s">
        <v>130</v>
      </c>
      <c r="F20" s="9" t="n">
        <f aca="false">IF(OR(D20="",E20=""),1,MAX(1,DATEVALUE(E20)-DATEVALUE(D20)))</f>
        <v>3</v>
      </c>
      <c r="G20" s="11" t="n">
        <v>44610</v>
      </c>
      <c r="H20" s="11" t="n">
        <v>55575</v>
      </c>
      <c r="I20" s="11"/>
      <c r="J20" s="11"/>
      <c r="K20" s="11"/>
      <c r="L20" s="12"/>
      <c r="M20" s="13"/>
      <c r="N20" s="14" t="n">
        <f aca="false">IF(G20="","",G20/F20)</f>
        <v>14870</v>
      </c>
      <c r="O20" s="14" t="n">
        <f aca="false">IF(COUNT(H20:K20)=0,"",MIN(H20:K20)/F20)</f>
        <v>18525</v>
      </c>
      <c r="P20" s="14" t="str">
        <f aca="false">IF(L20="","",L20*95/F20)</f>
        <v/>
      </c>
      <c r="Q20" s="15" t="n">
        <f aca="false">IF(OR(N20="",O20=""),"",(IF(AND(N20&gt;7500,O20&gt;7500),O20/(1+IF(O20&lt;=1000,0,IF(O20&lt;=7500,0.05,0.18)))-IF(AND(N20&gt;7500,O20&gt;7500),N20/1.18,N20),(O20-IF(AND(N20&gt;7500,O20&gt;7500),N20/1.18,N20))/(1+IF(O20&lt;=1000,0,IF(O20&lt;=7500,0.05,0.18)))))/(IF(AND(N20&gt;7500,O20&gt;7500),N20/1.18,N20)))</f>
        <v>0.245796906523201</v>
      </c>
      <c r="R20" s="15" t="n">
        <f aca="false">IF(OR(N20="",O20=""),"",((O20-N20)/1.18)/N20)</f>
        <v>0.208302463155255</v>
      </c>
      <c r="S20" s="15" t="str">
        <f aca="false">IF(OR(P20="",O20=""),"",(P20-O20)/O20)</f>
        <v/>
      </c>
      <c r="T20" s="9" t="str">
        <f aca="false">IF(AND(D20="",G20&lt;&gt;""),"no dates - assumed 1 night",IF(Q20="","",IF(Q20&gt;1.5,"check: markup &gt;150%",IF(Q20&lt;0,"below cost",""))))</f>
        <v/>
      </c>
    </row>
    <row r="21" customFormat="false" ht="15" hidden="false" customHeight="false" outlineLevel="0" collapsed="false">
      <c r="A21" s="9" t="s">
        <v>13</v>
      </c>
      <c r="B21" s="9" t="s">
        <v>186</v>
      </c>
      <c r="C21" s="9" t="s">
        <v>54</v>
      </c>
      <c r="D21" s="10" t="s">
        <v>129</v>
      </c>
      <c r="E21" s="10" t="s">
        <v>130</v>
      </c>
      <c r="F21" s="9" t="n">
        <f aca="false">IF(OR(D21="",E21=""),1,MAX(1,DATEVALUE(E21)-DATEVALUE(D21)))</f>
        <v>3</v>
      </c>
      <c r="G21" s="11" t="n">
        <v>75344</v>
      </c>
      <c r="H21" s="11"/>
      <c r="I21" s="11"/>
      <c r="J21" s="11"/>
      <c r="K21" s="11"/>
      <c r="L21" s="12"/>
      <c r="M21" s="13"/>
      <c r="N21" s="14" t="n">
        <f aca="false">IF(G21="","",G21/F21)</f>
        <v>25114.6666666667</v>
      </c>
      <c r="O21" s="14" t="str">
        <f aca="false">IF(COUNT(H21:K21)=0,"",MIN(H21:K21)/F21)</f>
        <v/>
      </c>
      <c r="P21" s="14" t="str">
        <f aca="false">IF(L21="","",L21*95/F21)</f>
        <v/>
      </c>
      <c r="Q21" s="15" t="str">
        <f aca="false">IF(OR(N21="",O21=""),"",(IF(AND(N21&gt;7500,O21&gt;7500),O21/(1+IF(O21&lt;=1000,0,IF(O21&lt;=7500,0.05,0.18)))-IF(AND(N21&gt;7500,O21&gt;7500),N21/1.18,N21),(O21-IF(AND(N21&gt;7500,O21&gt;7500),N21/1.18,N21))/(1+IF(O21&lt;=1000,0,IF(O21&lt;=7500,0.05,0.18)))))/(IF(AND(N21&gt;7500,O21&gt;7500),N21/1.18,N21)))</f>
        <v/>
      </c>
      <c r="R21" s="15" t="str">
        <f aca="false">IF(OR(N21="",O21=""),"",((O21-N21)/1.18)/N21)</f>
        <v/>
      </c>
      <c r="S21" s="15" t="str">
        <f aca="false">IF(OR(P21="",O21=""),"",(P21-O21)/O21)</f>
        <v/>
      </c>
      <c r="T21" s="9" t="str">
        <f aca="false">IF(AND(D21="",G21&lt;&gt;""),"no dates - assumed 1 night",IF(Q21="","",IF(Q21&gt;1.5,"check: markup &gt;150%",IF(Q21&lt;0,"below cost",""))))</f>
        <v/>
      </c>
    </row>
    <row r="22" customFormat="false" ht="15" hidden="false" customHeight="false" outlineLevel="0" collapsed="false">
      <c r="A22" s="9" t="s">
        <v>13</v>
      </c>
      <c r="B22" s="9" t="s">
        <v>187</v>
      </c>
      <c r="C22" s="9" t="s">
        <v>44</v>
      </c>
      <c r="D22" s="10" t="s">
        <v>103</v>
      </c>
      <c r="E22" s="10" t="s">
        <v>104</v>
      </c>
      <c r="F22" s="9" t="n">
        <f aca="false">IF(OR(D22="",E22=""),1,MAX(1,DATEVALUE(E22)-DATEVALUE(D22)))</f>
        <v>3</v>
      </c>
      <c r="G22" s="11" t="n">
        <v>40031</v>
      </c>
      <c r="H22" s="11" t="n">
        <v>39690</v>
      </c>
      <c r="I22" s="11"/>
      <c r="J22" s="11"/>
      <c r="K22" s="11"/>
      <c r="L22" s="12"/>
      <c r="M22" s="13"/>
      <c r="N22" s="14" t="n">
        <f aca="false">IF(G22="","",G22/F22)</f>
        <v>13343.6666666667</v>
      </c>
      <c r="O22" s="14" t="n">
        <f aca="false">IF(COUNT(H22:K22)=0,"",MIN(H22:K22)/F22)</f>
        <v>13230</v>
      </c>
      <c r="P22" s="14" t="str">
        <f aca="false">IF(L22="","",L22*95/F22)</f>
        <v/>
      </c>
      <c r="Q22" s="15" t="n">
        <f aca="false">IF(OR(N22="",O22=""),"",(IF(AND(N22&gt;7500,O22&gt;7500),O22/(1+IF(O22&lt;=1000,0,IF(O22&lt;=7500,0.05,0.18)))-IF(AND(N22&gt;7500,O22&gt;7500),N22/1.18,N22),(O22-IF(AND(N22&gt;7500,O22&gt;7500),N22/1.18,N22))/(1+IF(O22&lt;=1000,0,IF(O22&lt;=7500,0.05,0.18)))))/(IF(AND(N22&gt;7500,O22&gt;7500),N22/1.18,N22)))</f>
        <v>-0.00851839824136287</v>
      </c>
      <c r="R22" s="15" t="n">
        <f aca="false">IF(OR(N22="",O22=""),"",((O22-N22)/1.18)/N22)</f>
        <v>-0.00721898156047703</v>
      </c>
      <c r="S22" s="15" t="str">
        <f aca="false">IF(OR(P22="",O22=""),"",(P22-O22)/O22)</f>
        <v/>
      </c>
      <c r="T22" s="9" t="str">
        <f aca="false">IF(AND(D22="",G22&lt;&gt;""),"no dates - assumed 1 night",IF(Q22="","",IF(Q22&gt;1.5,"check: markup &gt;150%",IF(Q22&lt;0,"below cost",""))))</f>
        <v>below cost</v>
      </c>
    </row>
    <row r="23" customFormat="false" ht="15" hidden="false" customHeight="false" outlineLevel="0" collapsed="false">
      <c r="A23" s="9" t="s">
        <v>13</v>
      </c>
      <c r="B23" s="9" t="s">
        <v>187</v>
      </c>
      <c r="C23" s="9" t="s">
        <v>47</v>
      </c>
      <c r="D23" s="10" t="s">
        <v>127</v>
      </c>
      <c r="E23" s="10" t="s">
        <v>128</v>
      </c>
      <c r="F23" s="9" t="n">
        <f aca="false">IF(OR(D23="",E23=""),1,MAX(1,DATEVALUE(E23)-DATEVALUE(D23)))</f>
        <v>3</v>
      </c>
      <c r="G23" s="11" t="n">
        <v>43336</v>
      </c>
      <c r="H23" s="11" t="n">
        <v>42392</v>
      </c>
      <c r="I23" s="11"/>
      <c r="J23" s="11"/>
      <c r="K23" s="11"/>
      <c r="L23" s="12"/>
      <c r="M23" s="13"/>
      <c r="N23" s="14" t="n">
        <f aca="false">IF(G23="","",G23/F23)</f>
        <v>14445.3333333333</v>
      </c>
      <c r="O23" s="14" t="n">
        <f aca="false">IF(COUNT(H23:K23)=0,"",MIN(H23:K23)/F23)</f>
        <v>14130.6666666667</v>
      </c>
      <c r="P23" s="14" t="str">
        <f aca="false">IF(L23="","",L23*95/F23)</f>
        <v/>
      </c>
      <c r="Q23" s="15" t="n">
        <f aca="false">IF(OR(N23="",O23=""),"",(IF(AND(N23&gt;7500,O23&gt;7500),O23/(1+IF(O23&lt;=1000,0,IF(O23&lt;=7500,0.05,0.18)))-IF(AND(N23&gt;7500,O23&gt;7500),N23/1.18,N23),(O23-IF(AND(N23&gt;7500,O23&gt;7500),N23/1.18,N23))/(1+IF(O23&lt;=1000,0,IF(O23&lt;=7500,0.05,0.18)))))/(IF(AND(N23&gt;7500,O23&gt;7500),N23/1.18,N23)))</f>
        <v>-0.0217832748753924</v>
      </c>
      <c r="R23" s="15" t="n">
        <f aca="false">IF(OR(N23="",O23=""),"",((O23-N23)/1.18)/N23)</f>
        <v>-0.0184604024367732</v>
      </c>
      <c r="S23" s="15" t="str">
        <f aca="false">IF(OR(P23="",O23=""),"",(P23-O23)/O23)</f>
        <v/>
      </c>
      <c r="T23" s="9" t="str">
        <f aca="false">IF(AND(D23="",G23&lt;&gt;""),"no dates - assumed 1 night",IF(Q23="","",IF(Q23&gt;1.5,"check: markup &gt;150%",IF(Q23&lt;0,"below cost",""))))</f>
        <v>below cost</v>
      </c>
    </row>
    <row r="24" customFormat="false" ht="15" hidden="false" customHeight="false" outlineLevel="0" collapsed="false">
      <c r="A24" s="9" t="s">
        <v>13</v>
      </c>
      <c r="B24" s="9" t="s">
        <v>187</v>
      </c>
      <c r="C24" s="9" t="s">
        <v>50</v>
      </c>
      <c r="D24" s="10" t="s">
        <v>48</v>
      </c>
      <c r="E24" s="10" t="s">
        <v>49</v>
      </c>
      <c r="F24" s="9" t="n">
        <f aca="false">IF(OR(D24="",E24=""),1,MAX(1,DATEVALUE(E24)-DATEVALUE(D24)))</f>
        <v>3</v>
      </c>
      <c r="G24" s="11" t="n">
        <v>44759</v>
      </c>
      <c r="H24" s="11" t="n">
        <v>49873</v>
      </c>
      <c r="I24" s="11"/>
      <c r="J24" s="11"/>
      <c r="K24" s="11"/>
      <c r="L24" s="12"/>
      <c r="M24" s="13"/>
      <c r="N24" s="14" t="n">
        <f aca="false">IF(G24="","",G24/F24)</f>
        <v>14919.6666666667</v>
      </c>
      <c r="O24" s="14" t="n">
        <f aca="false">IF(COUNT(H24:K24)=0,"",MIN(H24:K24)/F24)</f>
        <v>16624.3333333333</v>
      </c>
      <c r="P24" s="14" t="str">
        <f aca="false">IF(L24="","",L24*95/F24)</f>
        <v/>
      </c>
      <c r="Q24" s="15" t="n">
        <f aca="false">IF(OR(N24="",O24=""),"",(IF(AND(N24&gt;7500,O24&gt;7500),O24/(1+IF(O24&lt;=1000,0,IF(O24&lt;=7500,0.05,0.18)))-IF(AND(N24&gt;7500,O24&gt;7500),N24/1.18,N24),(O24-IF(AND(N24&gt;7500,O24&gt;7500),N24/1.18,N24))/(1+IF(O24&lt;=1000,0,IF(O24&lt;=7500,0.05,0.18)))))/(IF(AND(N24&gt;7500,O24&gt;7500),N24/1.18,N24)))</f>
        <v>0.114256350678076</v>
      </c>
      <c r="R24" s="15" t="n">
        <f aca="false">IF(OR(N24="",O24=""),"",((O24-N24)/1.18)/N24)</f>
        <v>0.0968274158288779</v>
      </c>
      <c r="S24" s="15" t="str">
        <f aca="false">IF(OR(P24="",O24=""),"",(P24-O24)/O24)</f>
        <v/>
      </c>
      <c r="T24" s="9" t="str">
        <f aca="false">IF(AND(D24="",G24&lt;&gt;""),"no dates - assumed 1 night",IF(Q24="","",IF(Q24&gt;1.5,"check: markup &gt;150%",IF(Q24&lt;0,"below cost",""))))</f>
        <v/>
      </c>
    </row>
    <row r="25" customFormat="false" ht="15" hidden="false" customHeight="false" outlineLevel="0" collapsed="false">
      <c r="A25" s="9" t="s">
        <v>13</v>
      </c>
      <c r="B25" s="9" t="s">
        <v>187</v>
      </c>
      <c r="C25" s="9" t="s">
        <v>54</v>
      </c>
      <c r="D25" s="10" t="s">
        <v>129</v>
      </c>
      <c r="E25" s="10" t="s">
        <v>130</v>
      </c>
      <c r="F25" s="9" t="n">
        <f aca="false">IF(OR(D25="",E25=""),1,MAX(1,DATEVALUE(E25)-DATEVALUE(D25)))</f>
        <v>3</v>
      </c>
      <c r="G25" s="11" t="n">
        <v>72861</v>
      </c>
      <c r="H25" s="11" t="n">
        <v>80177</v>
      </c>
      <c r="I25" s="11"/>
      <c r="J25" s="11"/>
      <c r="K25" s="11"/>
      <c r="L25" s="12"/>
      <c r="M25" s="13"/>
      <c r="N25" s="14" t="n">
        <f aca="false">IF(G25="","",G25/F25)</f>
        <v>24287</v>
      </c>
      <c r="O25" s="14" t="n">
        <f aca="false">IF(COUNT(H25:K25)=0,"",MIN(H25:K25)/F25)</f>
        <v>26725.6666666667</v>
      </c>
      <c r="P25" s="14" t="str">
        <f aca="false">IF(L25="","",L25*95/F25)</f>
        <v/>
      </c>
      <c r="Q25" s="15" t="n">
        <f aca="false">IF(OR(N25="",O25=""),"",(IF(AND(N25&gt;7500,O25&gt;7500),O25/(1+IF(O25&lt;=1000,0,IF(O25&lt;=7500,0.05,0.18)))-IF(AND(N25&gt;7500,O25&gt;7500),N25/1.18,N25),(O25-IF(AND(N25&gt;7500,O25&gt;7500),N25/1.18,N25))/(1+IF(O25&lt;=1000,0,IF(O25&lt;=7500,0.05,0.18)))))/(IF(AND(N25&gt;7500,O25&gt;7500),N25/1.18,N25)))</f>
        <v>0.100410370431369</v>
      </c>
      <c r="R25" s="15" t="n">
        <f aca="false">IF(OR(N25="",O25=""),"",((O25-N25)/1.18)/N25)</f>
        <v>0.0850935342638724</v>
      </c>
      <c r="S25" s="15" t="str">
        <f aca="false">IF(OR(P25="",O25=""),"",(P25-O25)/O25)</f>
        <v/>
      </c>
      <c r="T25" s="9" t="str">
        <f aca="false">IF(AND(D25="",G25&lt;&gt;""),"no dates - assumed 1 night",IF(Q25="","",IF(Q25&gt;1.5,"check: markup &gt;150%",IF(Q25&lt;0,"below cost",""))))</f>
        <v/>
      </c>
    </row>
    <row r="26" customFormat="false" ht="15" hidden="false" customHeight="false" outlineLevel="0" collapsed="false">
      <c r="A26" s="9" t="s">
        <v>13</v>
      </c>
      <c r="B26" s="9" t="s">
        <v>188</v>
      </c>
      <c r="C26" s="9" t="s">
        <v>44</v>
      </c>
      <c r="D26" s="10" t="s">
        <v>103</v>
      </c>
      <c r="E26" s="10" t="s">
        <v>104</v>
      </c>
      <c r="F26" s="9" t="n">
        <f aca="false">IF(OR(D26="",E26=""),1,MAX(1,DATEVALUE(E26)-DATEVALUE(D26)))</f>
        <v>3</v>
      </c>
      <c r="G26" s="11" t="n">
        <v>43612</v>
      </c>
      <c r="H26" s="11" t="n">
        <v>46025</v>
      </c>
      <c r="I26" s="11"/>
      <c r="J26" s="11"/>
      <c r="K26" s="11"/>
      <c r="L26" s="12"/>
      <c r="M26" s="13"/>
      <c r="N26" s="14" t="n">
        <f aca="false">IF(G26="","",G26/F26)</f>
        <v>14537.3333333333</v>
      </c>
      <c r="O26" s="14" t="n">
        <f aca="false">IF(COUNT(H26:K26)=0,"",MIN(H26:K26)/F26)</f>
        <v>15341.6666666667</v>
      </c>
      <c r="P26" s="14" t="str">
        <f aca="false">IF(L26="","",L26*95/F26)</f>
        <v/>
      </c>
      <c r="Q26" s="15" t="n">
        <f aca="false">IF(OR(N26="",O26=""),"",(IF(AND(N26&gt;7500,O26&gt;7500),O26/(1+IF(O26&lt;=1000,0,IF(O26&lt;=7500,0.05,0.18)))-IF(AND(N26&gt;7500,O26&gt;7500),N26/1.18,N26),(O26-IF(AND(N26&gt;7500,O26&gt;7500),N26/1.18,N26))/(1+IF(O26&lt;=1000,0,IF(O26&lt;=7500,0.05,0.18)))))/(IF(AND(N26&gt;7500,O26&gt;7500),N26/1.18,N26)))</f>
        <v>0.0553288085847931</v>
      </c>
      <c r="R26" s="15" t="n">
        <f aca="false">IF(OR(N26="",O26=""),"",((O26-N26)/1.18)/N26)</f>
        <v>0.0468888208345704</v>
      </c>
      <c r="S26" s="15" t="str">
        <f aca="false">IF(OR(P26="",O26=""),"",(P26-O26)/O26)</f>
        <v/>
      </c>
      <c r="T26" s="9" t="str">
        <f aca="false">IF(AND(D26="",G26&lt;&gt;""),"no dates - assumed 1 night",IF(Q26="","",IF(Q26&gt;1.5,"check: markup &gt;150%",IF(Q26&lt;0,"below cost",""))))</f>
        <v/>
      </c>
    </row>
    <row r="27" customFormat="false" ht="15" hidden="false" customHeight="false" outlineLevel="0" collapsed="false">
      <c r="A27" s="9" t="s">
        <v>13</v>
      </c>
      <c r="B27" s="9" t="s">
        <v>188</v>
      </c>
      <c r="C27" s="9" t="s">
        <v>47</v>
      </c>
      <c r="D27" s="10" t="s">
        <v>127</v>
      </c>
      <c r="E27" s="10" t="s">
        <v>128</v>
      </c>
      <c r="F27" s="9" t="n">
        <f aca="false">IF(OR(D27="",E27=""),1,MAX(1,DATEVALUE(E27)-DATEVALUE(D27)))</f>
        <v>3</v>
      </c>
      <c r="G27" s="11" t="n">
        <v>44009</v>
      </c>
      <c r="H27" s="11" t="n">
        <v>46492</v>
      </c>
      <c r="I27" s="11"/>
      <c r="J27" s="11"/>
      <c r="K27" s="11"/>
      <c r="L27" s="12"/>
      <c r="M27" s="13"/>
      <c r="N27" s="14" t="n">
        <f aca="false">IF(G27="","",G27/F27)</f>
        <v>14669.6666666667</v>
      </c>
      <c r="O27" s="14" t="n">
        <f aca="false">IF(COUNT(H27:K27)=0,"",MIN(H27:K27)/F27)</f>
        <v>15497.3333333333</v>
      </c>
      <c r="P27" s="14" t="str">
        <f aca="false">IF(L27="","",L27*95/F27)</f>
        <v/>
      </c>
      <c r="Q27" s="15" t="n">
        <f aca="false">IF(OR(N27="",O27=""),"",(IF(AND(N27&gt;7500,O27&gt;7500),O27/(1+IF(O27&lt;=1000,0,IF(O27&lt;=7500,0.05,0.18)))-IF(AND(N27&gt;7500,O27&gt;7500),N27/1.18,N27),(O27-IF(AND(N27&gt;7500,O27&gt;7500),N27/1.18,N27))/(1+IF(O27&lt;=1000,0,IF(O27&lt;=7500,0.05,0.18)))))/(IF(AND(N27&gt;7500,O27&gt;7500),N27/1.18,N27)))</f>
        <v>0.0564202776704765</v>
      </c>
      <c r="R27" s="15" t="n">
        <f aca="false">IF(OR(N27="",O27=""),"",((O27-N27)/1.18)/N27)</f>
        <v>0.0478137946359971</v>
      </c>
      <c r="S27" s="15" t="str">
        <f aca="false">IF(OR(P27="",O27=""),"",(P27-O27)/O27)</f>
        <v/>
      </c>
      <c r="T27" s="9" t="str">
        <f aca="false">IF(AND(D27="",G27&lt;&gt;""),"no dates - assumed 1 night",IF(Q27="","",IF(Q27&gt;1.5,"check: markup &gt;150%",IF(Q27&lt;0,"below cost",""))))</f>
        <v/>
      </c>
    </row>
    <row r="28" customFormat="false" ht="15" hidden="false" customHeight="false" outlineLevel="0" collapsed="false">
      <c r="A28" s="9" t="s">
        <v>13</v>
      </c>
      <c r="B28" s="9" t="s">
        <v>188</v>
      </c>
      <c r="C28" s="9" t="s">
        <v>50</v>
      </c>
      <c r="D28" s="10" t="s">
        <v>48</v>
      </c>
      <c r="E28" s="10" t="s">
        <v>49</v>
      </c>
      <c r="F28" s="9" t="n">
        <f aca="false">IF(OR(D28="",E28=""),1,MAX(1,DATEVALUE(E28)-DATEVALUE(D28)))</f>
        <v>3</v>
      </c>
      <c r="G28" s="11" t="n">
        <v>43972</v>
      </c>
      <c r="H28" s="11" t="n">
        <v>50002</v>
      </c>
      <c r="I28" s="11"/>
      <c r="J28" s="11"/>
      <c r="K28" s="11"/>
      <c r="L28" s="12"/>
      <c r="M28" s="13"/>
      <c r="N28" s="14" t="n">
        <f aca="false">IF(G28="","",G28/F28)</f>
        <v>14657.3333333333</v>
      </c>
      <c r="O28" s="14" t="n">
        <f aca="false">IF(COUNT(H28:K28)=0,"",MIN(H28:K28)/F28)</f>
        <v>16667.3333333333</v>
      </c>
      <c r="P28" s="14" t="str">
        <f aca="false">IF(L28="","",L28*95/F28)</f>
        <v/>
      </c>
      <c r="Q28" s="15" t="n">
        <f aca="false">IF(OR(N28="",O28=""),"",(IF(AND(N28&gt;7500,O28&gt;7500),O28/(1+IF(O28&lt;=1000,0,IF(O28&lt;=7500,0.05,0.18)))-IF(AND(N28&gt;7500,O28&gt;7500),N28/1.18,N28),(O28-IF(AND(N28&gt;7500,O28&gt;7500),N28/1.18,N28))/(1+IF(O28&lt;=1000,0,IF(O28&lt;=7500,0.05,0.18)))))/(IF(AND(N28&gt;7500,O28&gt;7500),N28/1.18,N28)))</f>
        <v>0.137132720822341</v>
      </c>
      <c r="R28" s="15" t="n">
        <f aca="false">IF(OR(N28="",O28=""),"",((O28-N28)/1.18)/N28)</f>
        <v>0.116214170188425</v>
      </c>
      <c r="S28" s="15" t="str">
        <f aca="false">IF(OR(P28="",O28=""),"",(P28-O28)/O28)</f>
        <v/>
      </c>
      <c r="T28" s="9" t="str">
        <f aca="false">IF(AND(D28="",G28&lt;&gt;""),"no dates - assumed 1 night",IF(Q28="","",IF(Q28&gt;1.5,"check: markup &gt;150%",IF(Q28&lt;0,"below cost",""))))</f>
        <v/>
      </c>
    </row>
    <row r="29" customFormat="false" ht="15" hidden="false" customHeight="false" outlineLevel="0" collapsed="false">
      <c r="A29" s="9" t="s">
        <v>13</v>
      </c>
      <c r="B29" s="9" t="s">
        <v>188</v>
      </c>
      <c r="C29" s="9" t="s">
        <v>54</v>
      </c>
      <c r="D29" s="10" t="s">
        <v>129</v>
      </c>
      <c r="E29" s="10" t="s">
        <v>130</v>
      </c>
      <c r="F29" s="9" t="n">
        <f aca="false">IF(OR(D29="",E29=""),1,MAX(1,DATEVALUE(E29)-DATEVALUE(D29)))</f>
        <v>3</v>
      </c>
      <c r="G29" s="11" t="n">
        <v>51373</v>
      </c>
      <c r="H29" s="11" t="n">
        <v>58407</v>
      </c>
      <c r="I29" s="11"/>
      <c r="J29" s="11"/>
      <c r="K29" s="11"/>
      <c r="L29" s="12"/>
      <c r="M29" s="13"/>
      <c r="N29" s="14" t="n">
        <f aca="false">IF(G29="","",G29/F29)</f>
        <v>17124.3333333333</v>
      </c>
      <c r="O29" s="14" t="n">
        <f aca="false">IF(COUNT(H29:K29)=0,"",MIN(H29:K29)/F29)</f>
        <v>19469</v>
      </c>
      <c r="P29" s="14" t="str">
        <f aca="false">IF(L29="","",L29*95/F29)</f>
        <v/>
      </c>
      <c r="Q29" s="15" t="n">
        <f aca="false">IF(OR(N29="",O29=""),"",(IF(AND(N29&gt;7500,O29&gt;7500),O29/(1+IF(O29&lt;=1000,0,IF(O29&lt;=7500,0.05,0.18)))-IF(AND(N29&gt;7500,O29&gt;7500),N29/1.18,N29),(O29-IF(AND(N29&gt;7500,O29&gt;7500),N29/1.18,N29))/(1+IF(O29&lt;=1000,0,IF(O29&lt;=7500,0.05,0.18)))))/(IF(AND(N29&gt;7500,O29&gt;7500),N29/1.18,N29)))</f>
        <v>0.136920172074825</v>
      </c>
      <c r="R29" s="15" t="n">
        <f aca="false">IF(OR(N29="",O29=""),"",((O29-N29)/1.18)/N29)</f>
        <v>0.116034044131208</v>
      </c>
      <c r="S29" s="15" t="str">
        <f aca="false">IF(OR(P29="",O29=""),"",(P29-O29)/O29)</f>
        <v/>
      </c>
      <c r="T29" s="9" t="str">
        <f aca="false">IF(AND(D29="",G29&lt;&gt;""),"no dates - assumed 1 night",IF(Q29="","",IF(Q29&gt;1.5,"check: markup &gt;150%",IF(Q29&lt;0,"below cost",""))))</f>
        <v/>
      </c>
    </row>
    <row r="30" customFormat="false" ht="15" hidden="false" customHeight="false" outlineLevel="0" collapsed="false">
      <c r="A30" s="9" t="s">
        <v>13</v>
      </c>
      <c r="B30" s="9" t="s">
        <v>189</v>
      </c>
      <c r="C30" s="9" t="s">
        <v>44</v>
      </c>
      <c r="D30" s="16"/>
      <c r="E30" s="16"/>
      <c r="F30" s="9" t="n">
        <f aca="false">IF(OR(D30="",E30=""),1,MAX(1,DATEVALUE(E30)-DATEVALUE(D30)))</f>
        <v>1</v>
      </c>
      <c r="G30" s="11" t="n">
        <v>12689</v>
      </c>
      <c r="H30" s="11" t="n">
        <v>13453</v>
      </c>
      <c r="I30" s="11"/>
      <c r="J30" s="11"/>
      <c r="K30" s="11"/>
      <c r="L30" s="12"/>
      <c r="M30" s="13"/>
      <c r="N30" s="14" t="n">
        <f aca="false">IF(G30="","",G30/F30)</f>
        <v>12689</v>
      </c>
      <c r="O30" s="14" t="n">
        <f aca="false">IF(COUNT(H30:K30)=0,"",MIN(H30:K30)/F30)</f>
        <v>13453</v>
      </c>
      <c r="P30" s="14" t="str">
        <f aca="false">IF(L30="","",L30*95/F30)</f>
        <v/>
      </c>
      <c r="Q30" s="15" t="n">
        <f aca="false">IF(OR(N30="",O30=""),"",(IF(AND(N30&gt;7500,O30&gt;7500),O30/(1+IF(O30&lt;=1000,0,IF(O30&lt;=7500,0.05,0.18)))-IF(AND(N30&gt;7500,O30&gt;7500),N30/1.18,N30),(O30-IF(AND(N30&gt;7500,O30&gt;7500),N30/1.18,N30))/(1+IF(O30&lt;=1000,0,IF(O30&lt;=7500,0.05,0.18)))))/(IF(AND(N30&gt;7500,O30&gt;7500),N30/1.18,N30)))</f>
        <v>0.0602096303885256</v>
      </c>
      <c r="R30" s="15" t="n">
        <f aca="false">IF(OR(N30="",O30=""),"",((O30-N30)/1.18)/N30)</f>
        <v>0.0510251104987504</v>
      </c>
      <c r="S30" s="15" t="str">
        <f aca="false">IF(OR(P30="",O30=""),"",(P30-O30)/O30)</f>
        <v/>
      </c>
      <c r="T30" s="9" t="str">
        <f aca="false">IF(AND(D30="",G30&lt;&gt;""),"no dates - assumed 1 night",IF(Q30="","",IF(Q30&gt;1.5,"check: markup &gt;150%",IF(Q30&lt;0,"below cost",""))))</f>
        <v>no dates - assumed 1 night</v>
      </c>
    </row>
    <row r="31" customFormat="false" ht="15" hidden="false" customHeight="false" outlineLevel="0" collapsed="false">
      <c r="A31" s="9" t="s">
        <v>13</v>
      </c>
      <c r="B31" s="9" t="s">
        <v>189</v>
      </c>
      <c r="C31" s="9" t="s">
        <v>47</v>
      </c>
      <c r="D31" s="10" t="s">
        <v>183</v>
      </c>
      <c r="E31" s="10" t="s">
        <v>184</v>
      </c>
      <c r="F31" s="9" t="n">
        <f aca="false">IF(OR(D31="",E31=""),1,MAX(1,DATEVALUE(E31)-DATEVALUE(D31)))</f>
        <v>2</v>
      </c>
      <c r="G31" s="11" t="n">
        <v>16954</v>
      </c>
      <c r="H31" s="11" t="n">
        <v>18924</v>
      </c>
      <c r="I31" s="11"/>
      <c r="J31" s="11"/>
      <c r="K31" s="11"/>
      <c r="L31" s="12"/>
      <c r="M31" s="13"/>
      <c r="N31" s="14" t="n">
        <f aca="false">IF(G31="","",G31/F31)</f>
        <v>8477</v>
      </c>
      <c r="O31" s="14" t="n">
        <f aca="false">IF(COUNT(H31:K31)=0,"",MIN(H31:K31)/F31)</f>
        <v>9462</v>
      </c>
      <c r="P31" s="14" t="str">
        <f aca="false">IF(L31="","",L31*95/F31)</f>
        <v/>
      </c>
      <c r="Q31" s="15" t="n">
        <f aca="false">IF(OR(N31="",O31=""),"",(IF(AND(N31&gt;7500,O31&gt;7500),O31/(1+IF(O31&lt;=1000,0,IF(O31&lt;=7500,0.05,0.18)))-IF(AND(N31&gt;7500,O31&gt;7500),N31/1.18,N31),(O31-IF(AND(N31&gt;7500,O31&gt;7500),N31/1.18,N31))/(1+IF(O31&lt;=1000,0,IF(O31&lt;=7500,0.05,0.18)))))/(IF(AND(N31&gt;7500,O31&gt;7500),N31/1.18,N31)))</f>
        <v>0.116196767724431</v>
      </c>
      <c r="R31" s="15" t="n">
        <f aca="false">IF(OR(N31="",O31=""),"",((O31-N31)/1.18)/N31)</f>
        <v>0.0984718370546024</v>
      </c>
      <c r="S31" s="15" t="str">
        <f aca="false">IF(OR(P31="",O31=""),"",(P31-O31)/O31)</f>
        <v/>
      </c>
      <c r="T31" s="9" t="str">
        <f aca="false">IF(AND(D31="",G31&lt;&gt;""),"no dates - assumed 1 night",IF(Q31="","",IF(Q31&gt;1.5,"check: markup &gt;150%",IF(Q31&lt;0,"below cost",""))))</f>
        <v/>
      </c>
    </row>
    <row r="32" customFormat="false" ht="15" hidden="false" customHeight="false" outlineLevel="0" collapsed="false">
      <c r="A32" s="9" t="s">
        <v>13</v>
      </c>
      <c r="B32" s="9" t="s">
        <v>189</v>
      </c>
      <c r="C32" s="9" t="s">
        <v>50</v>
      </c>
      <c r="D32" s="16"/>
      <c r="E32" s="16"/>
      <c r="F32" s="9" t="n">
        <f aca="false">IF(OR(D32="",E32=""),1,MAX(1,DATEVALUE(E32)-DATEVALUE(D32)))</f>
        <v>1</v>
      </c>
      <c r="G32" s="11" t="n">
        <v>11138</v>
      </c>
      <c r="H32" s="11" t="n">
        <v>10760</v>
      </c>
      <c r="I32" s="11"/>
      <c r="J32" s="11"/>
      <c r="K32" s="11"/>
      <c r="L32" s="12"/>
      <c r="M32" s="13"/>
      <c r="N32" s="14" t="n">
        <f aca="false">IF(G32="","",G32/F32)</f>
        <v>11138</v>
      </c>
      <c r="O32" s="14" t="n">
        <f aca="false">IF(COUNT(H32:K32)=0,"",MIN(H32:K32)/F32)</f>
        <v>10760</v>
      </c>
      <c r="P32" s="14" t="str">
        <f aca="false">IF(L32="","",L32*95/F32)</f>
        <v/>
      </c>
      <c r="Q32" s="15" t="n">
        <f aca="false">IF(OR(N32="",O32=""),"",(IF(AND(N32&gt;7500,O32&gt;7500),O32/(1+IF(O32&lt;=1000,0,IF(O32&lt;=7500,0.05,0.18)))-IF(AND(N32&gt;7500,O32&gt;7500),N32/1.18,N32),(O32-IF(AND(N32&gt;7500,O32&gt;7500),N32/1.18,N32))/(1+IF(O32&lt;=1000,0,IF(O32&lt;=7500,0.05,0.18)))))/(IF(AND(N32&gt;7500,O32&gt;7500),N32/1.18,N32)))</f>
        <v>-0.033937870353744</v>
      </c>
      <c r="R32" s="15" t="n">
        <f aca="false">IF(OR(N32="",O32=""),"",((O32-N32)/1.18)/N32)</f>
        <v>-0.028760907079444</v>
      </c>
      <c r="S32" s="15" t="str">
        <f aca="false">IF(OR(P32="",O32=""),"",(P32-O32)/O32)</f>
        <v/>
      </c>
      <c r="T32" s="9" t="str">
        <f aca="false">IF(AND(D32="",G32&lt;&gt;""),"no dates - assumed 1 night",IF(Q32="","",IF(Q32&gt;1.5,"check: markup &gt;150%",IF(Q32&lt;0,"below cost",""))))</f>
        <v>no dates - assumed 1 night</v>
      </c>
    </row>
    <row r="33" customFormat="false" ht="15" hidden="false" customHeight="false" outlineLevel="0" collapsed="false">
      <c r="A33" s="9" t="s">
        <v>13</v>
      </c>
      <c r="B33" s="9" t="s">
        <v>190</v>
      </c>
      <c r="C33" s="9" t="s">
        <v>44</v>
      </c>
      <c r="D33" s="10" t="s">
        <v>103</v>
      </c>
      <c r="E33" s="10" t="s">
        <v>104</v>
      </c>
      <c r="F33" s="9" t="n">
        <f aca="false">IF(OR(D33="",E33=""),1,MAX(1,DATEVALUE(E33)-DATEVALUE(D33)))</f>
        <v>3</v>
      </c>
      <c r="G33" s="11" t="n">
        <v>25494</v>
      </c>
      <c r="H33" s="11" t="n">
        <v>27177</v>
      </c>
      <c r="I33" s="11"/>
      <c r="J33" s="11"/>
      <c r="K33" s="11"/>
      <c r="L33" s="12"/>
      <c r="M33" s="13"/>
      <c r="N33" s="14" t="n">
        <f aca="false">IF(G33="","",G33/F33)</f>
        <v>8498</v>
      </c>
      <c r="O33" s="14" t="n">
        <f aca="false">IF(COUNT(H33:K33)=0,"",MIN(H33:K33)/F33)</f>
        <v>9059</v>
      </c>
      <c r="P33" s="14" t="str">
        <f aca="false">IF(L33="","",L33*95/F33)</f>
        <v/>
      </c>
      <c r="Q33" s="15" t="n">
        <f aca="false">IF(OR(N33="",O33=""),"",(IF(AND(N33&gt;7500,O33&gt;7500),O33/(1+IF(O33&lt;=1000,0,IF(O33&lt;=7500,0.05,0.18)))-IF(AND(N33&gt;7500,O33&gt;7500),N33/1.18,N33),(O33-IF(AND(N33&gt;7500,O33&gt;7500),N33/1.18,N33))/(1+IF(O33&lt;=1000,0,IF(O33&lt;=7500,0.05,0.18)))))/(IF(AND(N33&gt;7500,O33&gt;7500),N33/1.18,N33)))</f>
        <v>0.0660155330666039</v>
      </c>
      <c r="R33" s="15" t="n">
        <f aca="false">IF(OR(N33="",O33=""),"",((O33-N33)/1.18)/N33)</f>
        <v>0.0559453670055965</v>
      </c>
      <c r="S33" s="15" t="str">
        <f aca="false">IF(OR(P33="",O33=""),"",(P33-O33)/O33)</f>
        <v/>
      </c>
      <c r="T33" s="9" t="str">
        <f aca="false">IF(AND(D33="",G33&lt;&gt;""),"no dates - assumed 1 night",IF(Q33="","",IF(Q33&gt;1.5,"check: markup &gt;150%",IF(Q33&lt;0,"below cost",""))))</f>
        <v/>
      </c>
    </row>
    <row r="34" customFormat="false" ht="15" hidden="false" customHeight="false" outlineLevel="0" collapsed="false">
      <c r="A34" s="9" t="s">
        <v>13</v>
      </c>
      <c r="B34" s="9" t="s">
        <v>190</v>
      </c>
      <c r="C34" s="9" t="s">
        <v>47</v>
      </c>
      <c r="D34" s="10" t="s">
        <v>127</v>
      </c>
      <c r="E34" s="10" t="s">
        <v>128</v>
      </c>
      <c r="F34" s="9" t="n">
        <f aca="false">IF(OR(D34="",E34=""),1,MAX(1,DATEVALUE(E34)-DATEVALUE(D34)))</f>
        <v>3</v>
      </c>
      <c r="G34" s="11" t="n">
        <v>31007</v>
      </c>
      <c r="H34" s="11" t="n">
        <v>32878</v>
      </c>
      <c r="I34" s="11"/>
      <c r="J34" s="11"/>
      <c r="K34" s="11"/>
      <c r="L34" s="12"/>
      <c r="M34" s="13"/>
      <c r="N34" s="14" t="n">
        <f aca="false">IF(G34="","",G34/F34)</f>
        <v>10335.6666666667</v>
      </c>
      <c r="O34" s="14" t="n">
        <f aca="false">IF(COUNT(H34:K34)=0,"",MIN(H34:K34)/F34)</f>
        <v>10959.3333333333</v>
      </c>
      <c r="P34" s="14" t="str">
        <f aca="false">IF(L34="","",L34*95/F34)</f>
        <v/>
      </c>
      <c r="Q34" s="15" t="n">
        <f aca="false">IF(OR(N34="",O34=""),"",(IF(AND(N34&gt;7500,O34&gt;7500),O34/(1+IF(O34&lt;=1000,0,IF(O34&lt;=7500,0.05,0.18)))-IF(AND(N34&gt;7500,O34&gt;7500),N34/1.18,N34),(O34-IF(AND(N34&gt;7500,O34&gt;7500),N34/1.18,N34))/(1+IF(O34&lt;=1000,0,IF(O34&lt;=7500,0.05,0.18)))))/(IF(AND(N34&gt;7500,O34&gt;7500),N34/1.18,N34)))</f>
        <v>0.0603412132744221</v>
      </c>
      <c r="R34" s="15" t="n">
        <f aca="false">IF(OR(N34="",O34=""),"",((O34-N34)/1.18)/N34)</f>
        <v>0.0511366214190017</v>
      </c>
      <c r="S34" s="15" t="str">
        <f aca="false">IF(OR(P34="",O34=""),"",(P34-O34)/O34)</f>
        <v/>
      </c>
      <c r="T34" s="9" t="str">
        <f aca="false">IF(AND(D34="",G34&lt;&gt;""),"no dates - assumed 1 night",IF(Q34="","",IF(Q34&gt;1.5,"check: markup &gt;150%",IF(Q34&lt;0,"below cost",""))))</f>
        <v/>
      </c>
    </row>
    <row r="35" customFormat="false" ht="15" hidden="false" customHeight="false" outlineLevel="0" collapsed="false">
      <c r="A35" s="9" t="s">
        <v>13</v>
      </c>
      <c r="B35" s="9" t="s">
        <v>190</v>
      </c>
      <c r="C35" s="9" t="s">
        <v>50</v>
      </c>
      <c r="D35" s="10" t="s">
        <v>48</v>
      </c>
      <c r="E35" s="10" t="s">
        <v>49</v>
      </c>
      <c r="F35" s="9" t="n">
        <f aca="false">IF(OR(D35="",E35=""),1,MAX(1,DATEVALUE(E35)-DATEVALUE(D35)))</f>
        <v>3</v>
      </c>
      <c r="G35" s="11" t="n">
        <v>35141</v>
      </c>
      <c r="H35" s="11" t="n">
        <v>37480</v>
      </c>
      <c r="I35" s="11"/>
      <c r="J35" s="11"/>
      <c r="K35" s="11"/>
      <c r="L35" s="12"/>
      <c r="M35" s="13"/>
      <c r="N35" s="14" t="n">
        <f aca="false">IF(G35="","",G35/F35)</f>
        <v>11713.6666666667</v>
      </c>
      <c r="O35" s="14" t="n">
        <f aca="false">IF(COUNT(H35:K35)=0,"",MIN(H35:K35)/F35)</f>
        <v>12493.3333333333</v>
      </c>
      <c r="P35" s="14" t="str">
        <f aca="false">IF(L35="","",L35*95/F35)</f>
        <v/>
      </c>
      <c r="Q35" s="15" t="n">
        <f aca="false">IF(OR(N35="",O35=""),"",(IF(AND(N35&gt;7500,O35&gt;7500),O35/(1+IF(O35&lt;=1000,0,IF(O35&lt;=7500,0.05,0.18)))-IF(AND(N35&gt;7500,O35&gt;7500),N35/1.18,N35),(O35-IF(AND(N35&gt;7500,O35&gt;7500),N35/1.18,N35))/(1+IF(O35&lt;=1000,0,IF(O35&lt;=7500,0.05,0.18)))))/(IF(AND(N35&gt;7500,O35&gt;7500),N35/1.18,N35)))</f>
        <v>0.0665604279900971</v>
      </c>
      <c r="R35" s="15" t="n">
        <f aca="false">IF(OR(N35="",O35=""),"",((O35-N35)/1.18)/N35)</f>
        <v>0.0564071423644891</v>
      </c>
      <c r="S35" s="15" t="str">
        <f aca="false">IF(OR(P35="",O35=""),"",(P35-O35)/O35)</f>
        <v/>
      </c>
      <c r="T35" s="9" t="str">
        <f aca="false">IF(AND(D35="",G35&lt;&gt;""),"no dates - assumed 1 night",IF(Q35="","",IF(Q35&gt;1.5,"check: markup &gt;150%",IF(Q35&lt;0,"below cost",""))))</f>
        <v/>
      </c>
    </row>
    <row r="36" customFormat="false" ht="15" hidden="false" customHeight="false" outlineLevel="0" collapsed="false">
      <c r="A36" s="9" t="s">
        <v>13</v>
      </c>
      <c r="B36" s="9" t="s">
        <v>190</v>
      </c>
      <c r="C36" s="9" t="s">
        <v>54</v>
      </c>
      <c r="D36" s="10" t="s">
        <v>129</v>
      </c>
      <c r="E36" s="10" t="s">
        <v>130</v>
      </c>
      <c r="F36" s="9" t="n">
        <f aca="false">IF(OR(D36="",E36=""),1,MAX(1,DATEVALUE(E36)-DATEVALUE(D36)))</f>
        <v>3</v>
      </c>
      <c r="G36" s="11" t="n">
        <v>37208</v>
      </c>
      <c r="H36" s="11" t="n">
        <v>42971</v>
      </c>
      <c r="I36" s="11"/>
      <c r="J36" s="11"/>
      <c r="K36" s="11"/>
      <c r="L36" s="12"/>
      <c r="M36" s="13"/>
      <c r="N36" s="14" t="n">
        <f aca="false">IF(G36="","",G36/F36)</f>
        <v>12402.6666666667</v>
      </c>
      <c r="O36" s="14" t="n">
        <f aca="false">IF(COUNT(H36:K36)=0,"",MIN(H36:K36)/F36)</f>
        <v>14323.6666666667</v>
      </c>
      <c r="P36" s="14" t="str">
        <f aca="false">IF(L36="","",L36*95/F36)</f>
        <v/>
      </c>
      <c r="Q36" s="15" t="n">
        <f aca="false">IF(OR(N36="",O36=""),"",(IF(AND(N36&gt;7500,O36&gt;7500),O36/(1+IF(O36&lt;=1000,0,IF(O36&lt;=7500,0.05,0.18)))-IF(AND(N36&gt;7500,O36&gt;7500),N36/1.18,N36),(O36-IF(AND(N36&gt;7500,O36&gt;7500),N36/1.18,N36))/(1+IF(O36&lt;=1000,0,IF(O36&lt;=7500,0.05,0.18)))))/(IF(AND(N36&gt;7500,O36&gt;7500),N36/1.18,N36)))</f>
        <v>0.15488604601161</v>
      </c>
      <c r="R36" s="15" t="n">
        <f aca="false">IF(OR(N36="",O36=""),"",((O36-N36)/1.18)/N36)</f>
        <v>0.131259361026788</v>
      </c>
      <c r="S36" s="15" t="str">
        <f aca="false">IF(OR(P36="",O36=""),"",(P36-O36)/O36)</f>
        <v/>
      </c>
      <c r="T36" s="9" t="str">
        <f aca="false">IF(AND(D36="",G36&lt;&gt;""),"no dates - assumed 1 night",IF(Q36="","",IF(Q36&gt;1.5,"check: markup &gt;150%",IF(Q36&lt;0,"below cost",""))))</f>
        <v/>
      </c>
    </row>
    <row r="37" customFormat="false" ht="15" hidden="false" customHeight="false" outlineLevel="0" collapsed="false">
      <c r="A37" s="9" t="s">
        <v>13</v>
      </c>
      <c r="B37" s="9" t="s">
        <v>191</v>
      </c>
      <c r="C37" s="9" t="s">
        <v>44</v>
      </c>
      <c r="D37" s="10" t="s">
        <v>103</v>
      </c>
      <c r="E37" s="10" t="s">
        <v>104</v>
      </c>
      <c r="F37" s="9" t="n">
        <f aca="false">IF(OR(D37="",E37=""),1,MAX(1,DATEVALUE(E37)-DATEVALUE(D37)))</f>
        <v>3</v>
      </c>
      <c r="G37" s="11" t="n">
        <v>22696</v>
      </c>
      <c r="H37" s="11" t="n">
        <v>22423</v>
      </c>
      <c r="I37" s="11"/>
      <c r="J37" s="11"/>
      <c r="K37" s="11"/>
      <c r="L37" s="12"/>
      <c r="M37" s="13"/>
      <c r="N37" s="14" t="n">
        <f aca="false">IF(G37="","",G37/F37)</f>
        <v>7565.33333333333</v>
      </c>
      <c r="O37" s="14" t="n">
        <f aca="false">IF(COUNT(H37:K37)=0,"",MIN(H37:K37)/F37)</f>
        <v>7474.33333333333</v>
      </c>
      <c r="P37" s="14" t="str">
        <f aca="false">IF(L37="","",L37*95/F37)</f>
        <v/>
      </c>
      <c r="Q37" s="15" t="n">
        <f aca="false">IF(OR(N37="",O37=""),"",(IF(AND(N37&gt;7500,O37&gt;7500),O37/(1+IF(O37&lt;=1000,0,IF(O37&lt;=7500,0.05,0.18)))-IF(AND(N37&gt;7500,O37&gt;7500),N37/1.18,N37),(O37-IF(AND(N37&gt;7500,O37&gt;7500),N37/1.18,N37))/(1+IF(O37&lt;=1000,0,IF(O37&lt;=7500,0.05,0.18)))))/(IF(AND(N37&gt;7500,O37&gt;7500),N37/1.18,N37)))</f>
        <v>-0.011455763130067</v>
      </c>
      <c r="R37" s="15" t="n">
        <f aca="false">IF(OR(N37="",O37=""),"",((O37-N37)/1.18)/N37)</f>
        <v>-0.0101936875309918</v>
      </c>
      <c r="S37" s="15" t="str">
        <f aca="false">IF(OR(P37="",O37=""),"",(P37-O37)/O37)</f>
        <v/>
      </c>
      <c r="T37" s="9" t="str">
        <f aca="false">IF(AND(D37="",G37&lt;&gt;""),"no dates - assumed 1 night",IF(Q37="","",IF(Q37&gt;1.5,"check: markup &gt;150%",IF(Q37&lt;0,"below cost",""))))</f>
        <v>below cost</v>
      </c>
    </row>
    <row r="38" customFormat="false" ht="15" hidden="false" customHeight="false" outlineLevel="0" collapsed="false">
      <c r="A38" s="9" t="s">
        <v>13</v>
      </c>
      <c r="B38" s="9" t="s">
        <v>191</v>
      </c>
      <c r="C38" s="9" t="s">
        <v>47</v>
      </c>
      <c r="D38" s="10" t="s">
        <v>127</v>
      </c>
      <c r="E38" s="10" t="s">
        <v>128</v>
      </c>
      <c r="F38" s="9" t="n">
        <f aca="false">IF(OR(D38="",E38=""),1,MAX(1,DATEVALUE(E38)-DATEVALUE(D38)))</f>
        <v>3</v>
      </c>
      <c r="G38" s="11" t="n">
        <v>30488</v>
      </c>
      <c r="H38" s="11" t="n">
        <v>32033</v>
      </c>
      <c r="I38" s="11"/>
      <c r="J38" s="11"/>
      <c r="K38" s="11"/>
      <c r="L38" s="12" t="n">
        <v>402</v>
      </c>
      <c r="M38" s="13"/>
      <c r="N38" s="14" t="n">
        <f aca="false">IF(G38="","",G38/F38)</f>
        <v>10162.6666666667</v>
      </c>
      <c r="O38" s="14" t="n">
        <f aca="false">IF(COUNT(H38:K38)=0,"",MIN(H38:K38)/F38)</f>
        <v>10677.6666666667</v>
      </c>
      <c r="P38" s="14" t="n">
        <f aca="false">IF(L38="","",L38*95/F38)</f>
        <v>12730</v>
      </c>
      <c r="Q38" s="15" t="n">
        <f aca="false">IF(OR(N38="",O38=""),"",(IF(AND(N38&gt;7500,O38&gt;7500),O38/(1+IF(O38&lt;=1000,0,IF(O38&lt;=7500,0.05,0.18)))-IF(AND(N38&gt;7500,O38&gt;7500),N38/1.18,N38),(O38-IF(AND(N38&gt;7500,O38&gt;7500),N38/1.18,N38))/(1+IF(O38&lt;=1000,0,IF(O38&lt;=7500,0.05,0.18)))))/(IF(AND(N38&gt;7500,O38&gt;7500),N38/1.18,N38)))</f>
        <v>0.0506756756756757</v>
      </c>
      <c r="R38" s="15" t="n">
        <f aca="false">IF(OR(N38="",O38=""),"",((O38-N38)/1.18)/N38)</f>
        <v>0.0429454878607421</v>
      </c>
      <c r="S38" s="15" t="n">
        <f aca="false">IF(OR(P38="",O38=""),"",(P38-O38)/O38)</f>
        <v>0.192208035463428</v>
      </c>
      <c r="T38" s="9" t="str">
        <f aca="false">IF(AND(D38="",G38&lt;&gt;""),"no dates - assumed 1 night",IF(Q38="","",IF(Q38&gt;1.5,"check: markup &gt;150%",IF(Q38&lt;0,"below cost",""))))</f>
        <v/>
      </c>
    </row>
    <row r="39" customFormat="false" ht="15" hidden="false" customHeight="false" outlineLevel="0" collapsed="false">
      <c r="A39" s="9" t="s">
        <v>13</v>
      </c>
      <c r="B39" s="9" t="s">
        <v>191</v>
      </c>
      <c r="C39" s="9" t="s">
        <v>50</v>
      </c>
      <c r="D39" s="10" t="s">
        <v>48</v>
      </c>
      <c r="E39" s="10" t="s">
        <v>49</v>
      </c>
      <c r="F39" s="9" t="n">
        <f aca="false">IF(OR(D39="",E39=""),1,MAX(1,DATEVALUE(E39)-DATEVALUE(D39)))</f>
        <v>3</v>
      </c>
      <c r="G39" s="11" t="n">
        <v>31577</v>
      </c>
      <c r="H39" s="11" t="n">
        <v>33114</v>
      </c>
      <c r="I39" s="11"/>
      <c r="J39" s="11"/>
      <c r="K39" s="11"/>
      <c r="L39" s="12"/>
      <c r="M39" s="13"/>
      <c r="N39" s="14" t="n">
        <f aca="false">IF(G39="","",G39/F39)</f>
        <v>10525.6666666667</v>
      </c>
      <c r="O39" s="14" t="n">
        <f aca="false">IF(COUNT(H39:K39)=0,"",MIN(H39:K39)/F39)</f>
        <v>11038</v>
      </c>
      <c r="P39" s="14" t="str">
        <f aca="false">IF(L39="","",L39*95/F39)</f>
        <v/>
      </c>
      <c r="Q39" s="15" t="n">
        <f aca="false">IF(OR(N39="",O39=""),"",(IF(AND(N39&gt;7500,O39&gt;7500),O39/(1+IF(O39&lt;=1000,0,IF(O39&lt;=7500,0.05,0.18)))-IF(AND(N39&gt;7500,O39&gt;7500),N39/1.18,N39),(O39-IF(AND(N39&gt;7500,O39&gt;7500),N39/1.18,N39))/(1+IF(O39&lt;=1000,0,IF(O39&lt;=7500,0.05,0.18)))))/(IF(AND(N39&gt;7500,O39&gt;7500),N39/1.18,N39)))</f>
        <v>0.0486746682712101</v>
      </c>
      <c r="R39" s="15" t="n">
        <f aca="false">IF(OR(N39="",O39=""),"",((O39-N39)/1.18)/N39)</f>
        <v>0.0412497188739069</v>
      </c>
      <c r="S39" s="15" t="str">
        <f aca="false">IF(OR(P39="",O39=""),"",(P39-O39)/O39)</f>
        <v/>
      </c>
      <c r="T39" s="9" t="str">
        <f aca="false">IF(AND(D39="",G39&lt;&gt;""),"no dates - assumed 1 night",IF(Q39="","",IF(Q39&gt;1.5,"check: markup &gt;150%",IF(Q39&lt;0,"below cost",""))))</f>
        <v/>
      </c>
    </row>
    <row r="40" customFormat="false" ht="15" hidden="false" customHeight="false" outlineLevel="0" collapsed="false">
      <c r="A40" s="9" t="s">
        <v>13</v>
      </c>
      <c r="B40" s="9" t="s">
        <v>191</v>
      </c>
      <c r="C40" s="9" t="s">
        <v>54</v>
      </c>
      <c r="D40" s="10" t="s">
        <v>51</v>
      </c>
      <c r="E40" s="10" t="s">
        <v>52</v>
      </c>
      <c r="F40" s="9" t="n">
        <f aca="false">IF(OR(D40="",E40=""),1,MAX(1,DATEVALUE(E40)-DATEVALUE(D40)))</f>
        <v>3</v>
      </c>
      <c r="G40" s="11" t="n">
        <v>27534</v>
      </c>
      <c r="H40" s="11" t="n">
        <v>30052</v>
      </c>
      <c r="I40" s="11"/>
      <c r="J40" s="11"/>
      <c r="K40" s="11"/>
      <c r="L40" s="12"/>
      <c r="M40" s="13"/>
      <c r="N40" s="14" t="n">
        <f aca="false">IF(G40="","",G40/F40)</f>
        <v>9178</v>
      </c>
      <c r="O40" s="14" t="n">
        <f aca="false">IF(COUNT(H40:K40)=0,"",MIN(H40:K40)/F40)</f>
        <v>10017.3333333333</v>
      </c>
      <c r="P40" s="14" t="str">
        <f aca="false">IF(L40="","",L40*95/F40)</f>
        <v/>
      </c>
      <c r="Q40" s="15" t="n">
        <f aca="false">IF(OR(N40="",O40=""),"",(IF(AND(N40&gt;7500,O40&gt;7500),O40/(1+IF(O40&lt;=1000,0,IF(O40&lt;=7500,0.05,0.18)))-IF(AND(N40&gt;7500,O40&gt;7500),N40/1.18,N40),(O40-IF(AND(N40&gt;7500,O40&gt;7500),N40/1.18,N40))/(1+IF(O40&lt;=1000,0,IF(O40&lt;=7500,0.05,0.18)))))/(IF(AND(N40&gt;7500,O40&gt;7500),N40/1.18,N40)))</f>
        <v>0.0914505702041114</v>
      </c>
      <c r="R40" s="15" t="n">
        <f aca="false">IF(OR(N40="",O40=""),"",((O40-N40)/1.18)/N40)</f>
        <v>0.0775004832238232</v>
      </c>
      <c r="S40" s="15" t="str">
        <f aca="false">IF(OR(P40="",O40=""),"",(P40-O40)/O40)</f>
        <v/>
      </c>
      <c r="T40" s="9" t="str">
        <f aca="false">IF(AND(D40="",G40&lt;&gt;""),"no dates - assumed 1 night",IF(Q40="","",IF(Q40&gt;1.5,"check: markup &gt;150%",IF(Q40&lt;0,"below cost",""))))</f>
        <v/>
      </c>
    </row>
    <row r="41" customFormat="false" ht="15" hidden="false" customHeight="false" outlineLevel="0" collapsed="false">
      <c r="A41" s="9" t="s">
        <v>13</v>
      </c>
      <c r="B41" s="9" t="s">
        <v>192</v>
      </c>
      <c r="C41" s="9" t="s">
        <v>44</v>
      </c>
      <c r="D41" s="10" t="s">
        <v>103</v>
      </c>
      <c r="E41" s="10" t="s">
        <v>104</v>
      </c>
      <c r="F41" s="9" t="n">
        <f aca="false">IF(OR(D41="",E41=""),1,MAX(1,DATEVALUE(E41)-DATEVALUE(D41)))</f>
        <v>3</v>
      </c>
      <c r="G41" s="11" t="n">
        <v>43581</v>
      </c>
      <c r="H41" s="11" t="n">
        <v>45660</v>
      </c>
      <c r="I41" s="11"/>
      <c r="J41" s="11"/>
      <c r="K41" s="11"/>
      <c r="L41" s="12"/>
      <c r="M41" s="13"/>
      <c r="N41" s="14" t="n">
        <f aca="false">IF(G41="","",G41/F41)</f>
        <v>14527</v>
      </c>
      <c r="O41" s="14" t="n">
        <f aca="false">IF(COUNT(H41:K41)=0,"",MIN(H41:K41)/F41)</f>
        <v>15220</v>
      </c>
      <c r="P41" s="14" t="str">
        <f aca="false">IF(L41="","",L41*95/F41)</f>
        <v/>
      </c>
      <c r="Q41" s="15" t="n">
        <f aca="false">IF(OR(N41="",O41=""),"",(IF(AND(N41&gt;7500,O41&gt;7500),O41/(1+IF(O41&lt;=1000,0,IF(O41&lt;=7500,0.05,0.18)))-IF(AND(N41&gt;7500,O41&gt;7500),N41/1.18,N41),(O41-IF(AND(N41&gt;7500,O41&gt;7500),N41/1.18,N41))/(1+IF(O41&lt;=1000,0,IF(O41&lt;=7500,0.05,0.18)))))/(IF(AND(N41&gt;7500,O41&gt;7500),N41/1.18,N41)))</f>
        <v>0.0477042747986508</v>
      </c>
      <c r="R41" s="15" t="n">
        <f aca="false">IF(OR(N41="",O41=""),"",((O41-N41)/1.18)/N41)</f>
        <v>0.0404273515242803</v>
      </c>
      <c r="S41" s="15" t="str">
        <f aca="false">IF(OR(P41="",O41=""),"",(P41-O41)/O41)</f>
        <v/>
      </c>
      <c r="T41" s="9" t="str">
        <f aca="false">IF(AND(D41="",G41&lt;&gt;""),"no dates - assumed 1 night",IF(Q41="","",IF(Q41&gt;1.5,"check: markup &gt;150%",IF(Q41&lt;0,"below cost",""))))</f>
        <v/>
      </c>
    </row>
    <row r="42" customFormat="false" ht="15" hidden="false" customHeight="false" outlineLevel="0" collapsed="false">
      <c r="A42" s="9" t="s">
        <v>13</v>
      </c>
      <c r="B42" s="9" t="s">
        <v>192</v>
      </c>
      <c r="C42" s="9" t="s">
        <v>47</v>
      </c>
      <c r="D42" s="10" t="s">
        <v>127</v>
      </c>
      <c r="E42" s="10" t="s">
        <v>128</v>
      </c>
      <c r="F42" s="9" t="n">
        <f aca="false">IF(OR(D42="",E42=""),1,MAX(1,DATEVALUE(E42)-DATEVALUE(D42)))</f>
        <v>3</v>
      </c>
      <c r="G42" s="11" t="n">
        <v>45306</v>
      </c>
      <c r="H42" s="11" t="n">
        <v>45660</v>
      </c>
      <c r="I42" s="11"/>
      <c r="J42" s="11"/>
      <c r="K42" s="11"/>
      <c r="L42" s="12"/>
      <c r="M42" s="13"/>
      <c r="N42" s="14" t="n">
        <f aca="false">IF(G42="","",G42/F42)</f>
        <v>15102</v>
      </c>
      <c r="O42" s="14" t="n">
        <f aca="false">IF(COUNT(H42:K42)=0,"",MIN(H42:K42)/F42)</f>
        <v>15220</v>
      </c>
      <c r="P42" s="14" t="str">
        <f aca="false">IF(L42="","",L42*95/F42)</f>
        <v/>
      </c>
      <c r="Q42" s="15" t="n">
        <f aca="false">IF(OR(N42="",O42=""),"",(IF(AND(N42&gt;7500,O42&gt;7500),O42/(1+IF(O42&lt;=1000,0,IF(O42&lt;=7500,0.05,0.18)))-IF(AND(N42&gt;7500,O42&gt;7500),N42/1.18,N42),(O42-IF(AND(N42&gt;7500,O42&gt;7500),N42/1.18,N42))/(1+IF(O42&lt;=1000,0,IF(O42&lt;=7500,0.05,0.18)))))/(IF(AND(N42&gt;7500,O42&gt;7500),N42/1.18,N42)))</f>
        <v>0.00781353463117468</v>
      </c>
      <c r="R42" s="15" t="n">
        <f aca="false">IF(OR(N42="",O42=""),"",((O42-N42)/1.18)/N42)</f>
        <v>0.00662163951794464</v>
      </c>
      <c r="S42" s="15" t="str">
        <f aca="false">IF(OR(P42="",O42=""),"",(P42-O42)/O42)</f>
        <v/>
      </c>
      <c r="T42" s="9" t="str">
        <f aca="false">IF(AND(D42="",G42&lt;&gt;""),"no dates - assumed 1 night",IF(Q42="","",IF(Q42&gt;1.5,"check: markup &gt;150%",IF(Q42&lt;0,"below cost",""))))</f>
        <v/>
      </c>
    </row>
    <row r="43" customFormat="false" ht="15" hidden="false" customHeight="false" outlineLevel="0" collapsed="false">
      <c r="A43" s="9" t="s">
        <v>13</v>
      </c>
      <c r="B43" s="9" t="s">
        <v>192</v>
      </c>
      <c r="C43" s="9" t="s">
        <v>50</v>
      </c>
      <c r="D43" s="10" t="s">
        <v>48</v>
      </c>
      <c r="E43" s="10" t="s">
        <v>49</v>
      </c>
      <c r="F43" s="9" t="n">
        <f aca="false">IF(OR(D43="",E43=""),1,MAX(1,DATEVALUE(E43)-DATEVALUE(D43)))</f>
        <v>3</v>
      </c>
      <c r="G43" s="11" t="n">
        <v>53161</v>
      </c>
      <c r="H43" s="11" t="n">
        <v>56330</v>
      </c>
      <c r="I43" s="11"/>
      <c r="J43" s="11"/>
      <c r="K43" s="11"/>
      <c r="L43" s="12"/>
      <c r="M43" s="13"/>
      <c r="N43" s="14" t="n">
        <f aca="false">IF(G43="","",G43/F43)</f>
        <v>17720.3333333333</v>
      </c>
      <c r="O43" s="14" t="n">
        <f aca="false">IF(COUNT(H43:K43)=0,"",MIN(H43:K43)/F43)</f>
        <v>18776.6666666667</v>
      </c>
      <c r="P43" s="14" t="str">
        <f aca="false">IF(L43="","",L43*95/F43)</f>
        <v/>
      </c>
      <c r="Q43" s="15" t="n">
        <f aca="false">IF(OR(N43="",O43=""),"",(IF(AND(N43&gt;7500,O43&gt;7500),O43/(1+IF(O43&lt;=1000,0,IF(O43&lt;=7500,0.05,0.18)))-IF(AND(N43&gt;7500,O43&gt;7500),N43/1.18,N43),(O43-IF(AND(N43&gt;7500,O43&gt;7500),N43/1.18,N43))/(1+IF(O43&lt;=1000,0,IF(O43&lt;=7500,0.05,0.18)))))/(IF(AND(N43&gt;7500,O43&gt;7500),N43/1.18,N43)))</f>
        <v>0.0596113692368466</v>
      </c>
      <c r="R43" s="15" t="n">
        <f aca="false">IF(OR(N43="",O43=""),"",((O43-N43)/1.18)/N43)</f>
        <v>0.0505181095227514</v>
      </c>
      <c r="S43" s="15" t="str">
        <f aca="false">IF(OR(P43="",O43=""),"",(P43-O43)/O43)</f>
        <v/>
      </c>
      <c r="T43" s="9" t="str">
        <f aca="false">IF(AND(D43="",G43&lt;&gt;""),"no dates - assumed 1 night",IF(Q43="","",IF(Q43&gt;1.5,"check: markup &gt;150%",IF(Q43&lt;0,"below cost",""))))</f>
        <v/>
      </c>
    </row>
    <row r="44" customFormat="false" ht="15" hidden="false" customHeight="false" outlineLevel="0" collapsed="false">
      <c r="A44" s="9" t="s">
        <v>13</v>
      </c>
      <c r="B44" s="9" t="s">
        <v>192</v>
      </c>
      <c r="C44" s="9" t="s">
        <v>54</v>
      </c>
      <c r="D44" s="10" t="s">
        <v>129</v>
      </c>
      <c r="E44" s="10" t="s">
        <v>130</v>
      </c>
      <c r="F44" s="9" t="n">
        <f aca="false">IF(OR(D44="",E44=""),1,MAX(1,DATEVALUE(E44)-DATEVALUE(D44)))</f>
        <v>3</v>
      </c>
      <c r="G44" s="11" t="n">
        <v>38056</v>
      </c>
      <c r="H44" s="11" t="n">
        <v>40480</v>
      </c>
      <c r="I44" s="11"/>
      <c r="J44" s="11"/>
      <c r="K44" s="11"/>
      <c r="L44" s="12"/>
      <c r="M44" s="13"/>
      <c r="N44" s="14" t="n">
        <f aca="false">IF(G44="","",G44/F44)</f>
        <v>12685.3333333333</v>
      </c>
      <c r="O44" s="14" t="n">
        <f aca="false">IF(COUNT(H44:K44)=0,"",MIN(H44:K44)/F44)</f>
        <v>13493.3333333333</v>
      </c>
      <c r="P44" s="14" t="str">
        <f aca="false">IF(L44="","",L44*95/F44)</f>
        <v/>
      </c>
      <c r="Q44" s="15" t="n">
        <f aca="false">IF(OR(N44="",O44=""),"",(IF(AND(N44&gt;7500,O44&gt;7500),O44/(1+IF(O44&lt;=1000,0,IF(O44&lt;=7500,0.05,0.18)))-IF(AND(N44&gt;7500,O44&gt;7500),N44/1.18,N44),(O44-IF(AND(N44&gt;7500,O44&gt;7500),N44/1.18,N44))/(1+IF(O44&lt;=1000,0,IF(O44&lt;=7500,0.05,0.18)))))/(IF(AND(N44&gt;7500,O44&gt;7500),N44/1.18,N44)))</f>
        <v>0.063695606474669</v>
      </c>
      <c r="R44" s="15" t="n">
        <f aca="false">IF(OR(N44="",O44=""),"",((O44-N44)/1.18)/N44)</f>
        <v>0.0539793275209059</v>
      </c>
      <c r="S44" s="15" t="str">
        <f aca="false">IF(OR(P44="",O44=""),"",(P44-O44)/O44)</f>
        <v/>
      </c>
      <c r="T44" s="9" t="str">
        <f aca="false">IF(AND(D44="",G44&lt;&gt;""),"no dates - assumed 1 night",IF(Q44="","",IF(Q44&gt;1.5,"check: markup &gt;150%",IF(Q44&lt;0,"below cost",""))))</f>
        <v/>
      </c>
    </row>
    <row r="45" customFormat="false" ht="15" hidden="false" customHeight="false" outlineLevel="0" collapsed="false">
      <c r="A45" s="9" t="s">
        <v>13</v>
      </c>
      <c r="B45" s="9" t="s">
        <v>193</v>
      </c>
      <c r="C45" s="9" t="s">
        <v>44</v>
      </c>
      <c r="D45" s="10" t="s">
        <v>103</v>
      </c>
      <c r="E45" s="10" t="s">
        <v>104</v>
      </c>
      <c r="F45" s="9" t="n">
        <f aca="false">IF(OR(D45="",E45=""),1,MAX(1,DATEVALUE(E45)-DATEVALUE(D45)))</f>
        <v>3</v>
      </c>
      <c r="G45" s="11" t="n">
        <v>65695</v>
      </c>
      <c r="H45" s="11" t="n">
        <v>76442</v>
      </c>
      <c r="I45" s="11"/>
      <c r="J45" s="11"/>
      <c r="K45" s="11"/>
      <c r="L45" s="12"/>
      <c r="M45" s="13"/>
      <c r="N45" s="14" t="n">
        <f aca="false">IF(G45="","",G45/F45)</f>
        <v>21898.3333333333</v>
      </c>
      <c r="O45" s="14" t="n">
        <f aca="false">IF(COUNT(H45:K45)=0,"",MIN(H45:K45)/F45)</f>
        <v>25480.6666666667</v>
      </c>
      <c r="P45" s="14" t="str">
        <f aca="false">IF(L45="","",L45*95/F45)</f>
        <v/>
      </c>
      <c r="Q45" s="15" t="n">
        <f aca="false">IF(OR(N45="",O45=""),"",(IF(AND(N45&gt;7500,O45&gt;7500),O45/(1+IF(O45&lt;=1000,0,IF(O45&lt;=7500,0.05,0.18)))-IF(AND(N45&gt;7500,O45&gt;7500),N45/1.18,N45),(O45-IF(AND(N45&gt;7500,O45&gt;7500),N45/1.18,N45))/(1+IF(O45&lt;=1000,0,IF(O45&lt;=7500,0.05,0.18)))))/(IF(AND(N45&gt;7500,O45&gt;7500),N45/1.18,N45)))</f>
        <v>0.163589314255271</v>
      </c>
      <c r="R45" s="15" t="n">
        <f aca="false">IF(OR(N45="",O45=""),"",((O45-N45)/1.18)/N45)</f>
        <v>0.138635012080738</v>
      </c>
      <c r="S45" s="15" t="str">
        <f aca="false">IF(OR(P45="",O45=""),"",(P45-O45)/O45)</f>
        <v/>
      </c>
      <c r="T45" s="9" t="str">
        <f aca="false">IF(AND(D45="",G45&lt;&gt;""),"no dates - assumed 1 night",IF(Q45="","",IF(Q45&gt;1.5,"check: markup &gt;150%",IF(Q45&lt;0,"below cost",""))))</f>
        <v/>
      </c>
    </row>
    <row r="46" customFormat="false" ht="15" hidden="false" customHeight="false" outlineLevel="0" collapsed="false">
      <c r="A46" s="9" t="s">
        <v>13</v>
      </c>
      <c r="B46" s="9" t="s">
        <v>193</v>
      </c>
      <c r="C46" s="9" t="s">
        <v>47</v>
      </c>
      <c r="D46" s="10" t="s">
        <v>127</v>
      </c>
      <c r="E46" s="10" t="s">
        <v>128</v>
      </c>
      <c r="F46" s="9" t="n">
        <f aca="false">IF(OR(D46="",E46=""),1,MAX(1,DATEVALUE(E46)-DATEVALUE(D46)))</f>
        <v>3</v>
      </c>
      <c r="G46" s="11" t="n">
        <v>75080</v>
      </c>
      <c r="H46" s="11" t="n">
        <v>90182</v>
      </c>
      <c r="I46" s="11"/>
      <c r="J46" s="11"/>
      <c r="K46" s="11"/>
      <c r="L46" s="12"/>
      <c r="M46" s="13"/>
      <c r="N46" s="14" t="n">
        <f aca="false">IF(G46="","",G46/F46)</f>
        <v>25026.6666666667</v>
      </c>
      <c r="O46" s="14" t="n">
        <f aca="false">IF(COUNT(H46:K46)=0,"",MIN(H46:K46)/F46)</f>
        <v>30060.6666666667</v>
      </c>
      <c r="P46" s="14" t="str">
        <f aca="false">IF(L46="","",L46*95/F46)</f>
        <v/>
      </c>
      <c r="Q46" s="15" t="n">
        <f aca="false">IF(OR(N46="",O46=""),"",(IF(AND(N46&gt;7500,O46&gt;7500),O46/(1+IF(O46&lt;=1000,0,IF(O46&lt;=7500,0.05,0.18)))-IF(AND(N46&gt;7500,O46&gt;7500),N46/1.18,N46),(O46-IF(AND(N46&gt;7500,O46&gt;7500),N46/1.18,N46))/(1+IF(O46&lt;=1000,0,IF(O46&lt;=7500,0.05,0.18)))))/(IF(AND(N46&gt;7500,O46&gt;7500),N46/1.18,N46)))</f>
        <v>0.201145444858817</v>
      </c>
      <c r="R46" s="15" t="n">
        <f aca="false">IF(OR(N46="",O46=""),"",((O46-N46)/1.18)/N46)</f>
        <v>0.170462241405777</v>
      </c>
      <c r="S46" s="15" t="str">
        <f aca="false">IF(OR(P46="",O46=""),"",(P46-O46)/O46)</f>
        <v/>
      </c>
      <c r="T46" s="9" t="str">
        <f aca="false">IF(AND(D46="",G46&lt;&gt;""),"no dates - assumed 1 night",IF(Q46="","",IF(Q46&gt;1.5,"check: markup &gt;150%",IF(Q46&lt;0,"below cost",""))))</f>
        <v/>
      </c>
    </row>
    <row r="47" customFormat="false" ht="15" hidden="false" customHeight="false" outlineLevel="0" collapsed="false">
      <c r="A47" s="9" t="s">
        <v>13</v>
      </c>
      <c r="B47" s="9" t="s">
        <v>193</v>
      </c>
      <c r="C47" s="9" t="s">
        <v>50</v>
      </c>
      <c r="D47" s="10" t="s">
        <v>48</v>
      </c>
      <c r="E47" s="10" t="s">
        <v>49</v>
      </c>
      <c r="F47" s="9" t="n">
        <f aca="false">IF(OR(D47="",E47=""),1,MAX(1,DATEVALUE(E47)-DATEVALUE(D47)))</f>
        <v>3</v>
      </c>
      <c r="G47" s="11" t="n">
        <v>90963</v>
      </c>
      <c r="H47" s="11" t="n">
        <v>105841</v>
      </c>
      <c r="I47" s="11"/>
      <c r="J47" s="11"/>
      <c r="K47" s="11"/>
      <c r="L47" s="12"/>
      <c r="M47" s="13"/>
      <c r="N47" s="14" t="n">
        <f aca="false">IF(G47="","",G47/F47)</f>
        <v>30321</v>
      </c>
      <c r="O47" s="14" t="n">
        <f aca="false">IF(COUNT(H47:K47)=0,"",MIN(H47:K47)/F47)</f>
        <v>35280.3333333333</v>
      </c>
      <c r="P47" s="14" t="str">
        <f aca="false">IF(L47="","",L47*95/F47)</f>
        <v/>
      </c>
      <c r="Q47" s="15" t="n">
        <f aca="false">IF(OR(N47="",O47=""),"",(IF(AND(N47&gt;7500,O47&gt;7500),O47/(1+IF(O47&lt;=1000,0,IF(O47&lt;=7500,0.05,0.18)))-IF(AND(N47&gt;7500,O47&gt;7500),N47/1.18,N47),(O47-IF(AND(N47&gt;7500,O47&gt;7500),N47/1.18,N47))/(1+IF(O47&lt;=1000,0,IF(O47&lt;=7500,0.05,0.18)))))/(IF(AND(N47&gt;7500,O47&gt;7500),N47/1.18,N47)))</f>
        <v>0.163561008322065</v>
      </c>
      <c r="R47" s="15" t="n">
        <f aca="false">IF(OR(N47="",O47=""),"",((O47-N47)/1.18)/N47)</f>
        <v>0.13861102400175</v>
      </c>
      <c r="S47" s="15" t="str">
        <f aca="false">IF(OR(P47="",O47=""),"",(P47-O47)/O47)</f>
        <v/>
      </c>
      <c r="T47" s="9" t="str">
        <f aca="false">IF(AND(D47="",G47&lt;&gt;""),"no dates - assumed 1 night",IF(Q47="","",IF(Q47&gt;1.5,"check: markup &gt;150%",IF(Q47&lt;0,"below cost",""))))</f>
        <v/>
      </c>
    </row>
    <row r="48" customFormat="false" ht="15" hidden="false" customHeight="false" outlineLevel="0" collapsed="false">
      <c r="A48" s="9" t="s">
        <v>13</v>
      </c>
      <c r="B48" s="9" t="s">
        <v>193</v>
      </c>
      <c r="C48" s="9" t="s">
        <v>54</v>
      </c>
      <c r="D48" s="10" t="s">
        <v>129</v>
      </c>
      <c r="E48" s="10" t="s">
        <v>130</v>
      </c>
      <c r="F48" s="9" t="n">
        <f aca="false">IF(OR(D48="",E48=""),1,MAX(1,DATEVALUE(E48)-DATEVALUE(D48)))</f>
        <v>3</v>
      </c>
      <c r="G48" s="11" t="n">
        <v>163404</v>
      </c>
      <c r="H48" s="11" t="n">
        <v>191375</v>
      </c>
      <c r="I48" s="11"/>
      <c r="J48" s="11"/>
      <c r="K48" s="11"/>
      <c r="L48" s="12"/>
      <c r="M48" s="13"/>
      <c r="N48" s="14" t="n">
        <f aca="false">IF(G48="","",G48/F48)</f>
        <v>54468</v>
      </c>
      <c r="O48" s="14" t="n">
        <f aca="false">IF(COUNT(H48:K48)=0,"",MIN(H48:K48)/F48)</f>
        <v>63791.6666666667</v>
      </c>
      <c r="P48" s="14" t="str">
        <f aca="false">IF(L48="","",L48*95/F48)</f>
        <v/>
      </c>
      <c r="Q48" s="15" t="n">
        <f aca="false">IF(OR(N48="",O48=""),"",(IF(AND(N48&gt;7500,O48&gt;7500),O48/(1+IF(O48&lt;=1000,0,IF(O48&lt;=7500,0.05,0.18)))-IF(AND(N48&gt;7500,O48&gt;7500),N48/1.18,N48),(O48-IF(AND(N48&gt;7500,O48&gt;7500),N48/1.18,N48))/(1+IF(O48&lt;=1000,0,IF(O48&lt;=7500,0.05,0.18)))))/(IF(AND(N48&gt;7500,O48&gt;7500),N48/1.18,N48)))</f>
        <v>0.171176960172334</v>
      </c>
      <c r="R48" s="15" t="n">
        <f aca="false">IF(OR(N48="",O48=""),"",((O48-N48)/1.18)/N48)</f>
        <v>0.145065220485028</v>
      </c>
      <c r="S48" s="15" t="str">
        <f aca="false">IF(OR(P48="",O48=""),"",(P48-O48)/O48)</f>
        <v/>
      </c>
      <c r="T48" s="9" t="str">
        <f aca="false">IF(AND(D48="",G48&lt;&gt;""),"no dates - assumed 1 night",IF(Q48="","",IF(Q48&gt;1.5,"check: markup &gt;150%",IF(Q48&lt;0,"below cost",""))))</f>
        <v/>
      </c>
    </row>
    <row r="50" customFormat="false" ht="15" hidden="false" customHeight="false" outlineLevel="0" collapsed="false">
      <c r="A50" s="2" t="s">
        <v>86</v>
      </c>
    </row>
  </sheetData>
  <autoFilter ref="A1:T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11" min="7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9" min="17" style="0" width="10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8" t="s">
        <v>2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2" customFormat="false" ht="15" hidden="false" customHeight="false" outlineLevel="0" collapsed="false">
      <c r="A2" s="9" t="s">
        <v>14</v>
      </c>
      <c r="B2" s="9" t="s">
        <v>194</v>
      </c>
      <c r="C2" s="9" t="s">
        <v>41</v>
      </c>
      <c r="D2" s="10" t="s">
        <v>42</v>
      </c>
      <c r="E2" s="10" t="s">
        <v>43</v>
      </c>
      <c r="F2" s="9" t="n">
        <f aca="false">IF(OR(D2="",E2=""),1,MAX(1,DATEVALUE(E2)-DATEVALUE(D2)))</f>
        <v>3</v>
      </c>
      <c r="G2" s="11" t="n">
        <v>29835</v>
      </c>
      <c r="H2" s="11" t="n">
        <v>33758</v>
      </c>
      <c r="I2" s="11"/>
      <c r="J2" s="11"/>
      <c r="K2" s="11"/>
      <c r="L2" s="12" t="n">
        <v>352.8</v>
      </c>
      <c r="M2" s="13" t="n">
        <v>0.12</v>
      </c>
      <c r="N2" s="14" t="n">
        <f aca="false">IF(G2="","",G2/F2)</f>
        <v>9945</v>
      </c>
      <c r="O2" s="14" t="n">
        <f aca="false">IF(COUNT(H2:K2)=0,"",MIN(H2:K2)/F2)</f>
        <v>11252.6666666667</v>
      </c>
      <c r="P2" s="14" t="n">
        <f aca="false">IF(L2="","",L2*95/F2)</f>
        <v>11172</v>
      </c>
      <c r="Q2" s="15" t="n">
        <f aca="false">IF(OR(N2="",O2=""),"",(IF(AND(N2&gt;7500,O2&gt;7500),O2/(1+IF(O2&lt;=1000,0,IF(O2&lt;=7500,0.05,0.18)))-IF(AND(N2&gt;7500,O2&gt;7500),N2/1.18,N2),(O2-IF(AND(N2&gt;7500,O2&gt;7500),N2/1.18,N2))/(1+IF(O2&lt;=1000,0,IF(O2&lt;=7500,0.05,0.18)))))/(IF(AND(N2&gt;7500,O2&gt;7500),N2/1.18,N2)))</f>
        <v>0.131489860901626</v>
      </c>
      <c r="R2" s="15" t="n">
        <f aca="false">IF(OR(N2="",O2=""),"",((O2-N2)/1.18)/N2)</f>
        <v>0.111432085509852</v>
      </c>
      <c r="S2" s="15" t="n">
        <f aca="false">IF(OR(P2="",O2=""),"",(P2-O2)/O2)</f>
        <v>-0.00716867112980622</v>
      </c>
      <c r="T2" s="9" t="str">
        <f aca="false">IF(AND(D2="",G2&lt;&gt;""),"no dates - assumed 1 night",IF(Q2="","",IF(Q2&gt;1.5,"check: markup &gt;150%",IF(Q2&lt;0,"below cost",""))))</f>
        <v/>
      </c>
    </row>
    <row r="3" customFormat="false" ht="15" hidden="false" customHeight="false" outlineLevel="0" collapsed="false">
      <c r="A3" s="9" t="s">
        <v>14</v>
      </c>
      <c r="B3" s="9" t="s">
        <v>194</v>
      </c>
      <c r="C3" s="9" t="s">
        <v>44</v>
      </c>
      <c r="D3" s="10" t="s">
        <v>45</v>
      </c>
      <c r="E3" s="10" t="s">
        <v>46</v>
      </c>
      <c r="F3" s="9" t="n">
        <f aca="false">IF(OR(D3="",E3=""),1,MAX(1,DATEVALUE(E3)-DATEVALUE(D3)))</f>
        <v>3</v>
      </c>
      <c r="G3" s="11"/>
      <c r="H3" s="11" t="n">
        <v>33758</v>
      </c>
      <c r="I3" s="11"/>
      <c r="J3" s="11"/>
      <c r="K3" s="11"/>
      <c r="L3" s="12" t="n">
        <v>352.8</v>
      </c>
      <c r="M3" s="13" t="n">
        <v>0.12</v>
      </c>
      <c r="N3" s="14" t="str">
        <f aca="false">IF(G3="","",G3/F3)</f>
        <v/>
      </c>
      <c r="O3" s="14" t="n">
        <f aca="false">IF(COUNT(H3:K3)=0,"",MIN(H3:K3)/F3)</f>
        <v>11252.6666666667</v>
      </c>
      <c r="P3" s="14" t="n">
        <f aca="false">IF(L3="","",L3*95/F3)</f>
        <v>11172</v>
      </c>
      <c r="Q3" s="15" t="str">
        <f aca="false">IF(OR(N3="",O3=""),"",(IF(AND(N3&gt;7500,O3&gt;7500),O3/(1+IF(O3&lt;=1000,0,IF(O3&lt;=7500,0.05,0.18)))-IF(AND(N3&gt;7500,O3&gt;7500),N3/1.18,N3),(O3-IF(AND(N3&gt;7500,O3&gt;7500),N3/1.18,N3))/(1+IF(O3&lt;=1000,0,IF(O3&lt;=7500,0.05,0.18)))))/(IF(AND(N3&gt;7500,O3&gt;7500),N3/1.18,N3)))</f>
        <v/>
      </c>
      <c r="R3" s="15" t="str">
        <f aca="false">IF(OR(N3="",O3=""),"",((O3-N3)/1.18)/N3)</f>
        <v/>
      </c>
      <c r="S3" s="15" t="n">
        <f aca="false">IF(OR(P3="",O3=""),"",(P3-O3)/O3)</f>
        <v>-0.00716867112980622</v>
      </c>
      <c r="T3" s="9" t="str">
        <f aca="false">IF(AND(D3="",G3&lt;&gt;""),"no dates - assumed 1 night",IF(Q3="","",IF(Q3&gt;1.5,"check: markup &gt;150%",IF(Q3&lt;0,"below cost",""))))</f>
        <v/>
      </c>
    </row>
    <row r="4" customFormat="false" ht="15" hidden="false" customHeight="false" outlineLevel="0" collapsed="false">
      <c r="A4" s="9" t="s">
        <v>14</v>
      </c>
      <c r="B4" s="9" t="s">
        <v>194</v>
      </c>
      <c r="C4" s="9" t="s">
        <v>50</v>
      </c>
      <c r="D4" s="10" t="s">
        <v>51</v>
      </c>
      <c r="E4" s="10" t="s">
        <v>52</v>
      </c>
      <c r="F4" s="9" t="n">
        <f aca="false">IF(OR(D4="",E4=""),1,MAX(1,DATEVALUE(E4)-DATEVALUE(D4)))</f>
        <v>3</v>
      </c>
      <c r="G4" s="11"/>
      <c r="H4" s="11" t="n">
        <v>54514</v>
      </c>
      <c r="I4" s="11"/>
      <c r="J4" s="11"/>
      <c r="K4" s="11"/>
      <c r="L4" s="12" t="n">
        <v>569.73</v>
      </c>
      <c r="M4" s="13" t="n">
        <v>0.12</v>
      </c>
      <c r="N4" s="14" t="str">
        <f aca="false">IF(G4="","",G4/F4)</f>
        <v/>
      </c>
      <c r="O4" s="14" t="n">
        <f aca="false">IF(COUNT(H4:K4)=0,"",MIN(H4:K4)/F4)</f>
        <v>18171.3333333333</v>
      </c>
      <c r="P4" s="14" t="n">
        <f aca="false">IF(L4="","",L4*95/F4)</f>
        <v>18041.45</v>
      </c>
      <c r="Q4" s="15" t="str">
        <f aca="false">IF(OR(N4="",O4=""),"",(IF(AND(N4&gt;7500,O4&gt;7500),O4/(1+IF(O4&lt;=1000,0,IF(O4&lt;=7500,0.05,0.18)))-IF(AND(N4&gt;7500,O4&gt;7500),N4/1.18,N4),(O4-IF(AND(N4&gt;7500,O4&gt;7500),N4/1.18,N4))/(1+IF(O4&lt;=1000,0,IF(O4&lt;=7500,0.05,0.18)))))/(IF(AND(N4&gt;7500,O4&gt;7500),N4/1.18,N4)))</f>
        <v/>
      </c>
      <c r="R4" s="15" t="str">
        <f aca="false">IF(OR(N4="",O4=""),"",((O4-N4)/1.18)/N4)</f>
        <v/>
      </c>
      <c r="S4" s="15" t="n">
        <f aca="false">IF(OR(P4="",O4=""),"",(P4-O4)/O4)</f>
        <v>-0.00714770517665176</v>
      </c>
      <c r="T4" s="9" t="str">
        <f aca="false">IF(AND(D4="",G4&lt;&gt;""),"no dates - assumed 1 night",IF(Q4="","",IF(Q4&gt;1.5,"check: markup &gt;150%",IF(Q4&lt;0,"below cost",""))))</f>
        <v/>
      </c>
    </row>
    <row r="5" customFormat="false" ht="15" hidden="false" customHeight="false" outlineLevel="0" collapsed="false">
      <c r="A5" s="9" t="s">
        <v>14</v>
      </c>
      <c r="B5" s="9" t="s">
        <v>195</v>
      </c>
      <c r="C5" s="9" t="s">
        <v>41</v>
      </c>
      <c r="D5" s="10" t="s">
        <v>42</v>
      </c>
      <c r="E5" s="10" t="s">
        <v>43</v>
      </c>
      <c r="F5" s="9" t="n">
        <f aca="false">IF(OR(D5="",E5=""),1,MAX(1,DATEVALUE(E5)-DATEVALUE(D5)))</f>
        <v>3</v>
      </c>
      <c r="G5" s="11" t="n">
        <v>39968</v>
      </c>
      <c r="H5" s="11" t="n">
        <v>41123</v>
      </c>
      <c r="I5" s="11"/>
      <c r="J5" s="11"/>
      <c r="K5" s="11"/>
      <c r="L5" s="12" t="n">
        <v>425.56</v>
      </c>
      <c r="M5" s="13" t="n">
        <v>0.06</v>
      </c>
      <c r="N5" s="14" t="n">
        <f aca="false">IF(G5="","",G5/F5)</f>
        <v>13322.6666666667</v>
      </c>
      <c r="O5" s="14" t="n">
        <f aca="false">IF(COUNT(H5:K5)=0,"",MIN(H5:K5)/F5)</f>
        <v>13707.6666666667</v>
      </c>
      <c r="P5" s="14" t="n">
        <f aca="false">IF(L5="","",L5*95/F5)</f>
        <v>13476.0666666667</v>
      </c>
      <c r="Q5" s="15" t="n">
        <f aca="false">IF(OR(N5="",O5=""),"",(IF(AND(N5&gt;7500,O5&gt;7500),O5/(1+IF(O5&lt;=1000,0,IF(O5&lt;=7500,0.05,0.18)))-IF(AND(N5&gt;7500,O5&gt;7500),N5/1.18,N5),(O5-IF(AND(N5&gt;7500,O5&gt;7500),N5/1.18,N5))/(1+IF(O5&lt;=1000,0,IF(O5&lt;=7500,0.05,0.18)))))/(IF(AND(N5&gt;7500,O5&gt;7500),N5/1.18,N5)))</f>
        <v>0.0288981184947958</v>
      </c>
      <c r="R5" s="15" t="n">
        <f aca="false">IF(OR(N5="",O5=""),"",((O5-N5)/1.18)/N5)</f>
        <v>0.0244899309277931</v>
      </c>
      <c r="S5" s="15" t="n">
        <f aca="false">IF(OR(P5="",O5=""),"",(P5-O5)/O5)</f>
        <v>-0.0168956544999149</v>
      </c>
      <c r="T5" s="9" t="str">
        <f aca="false">IF(AND(D5="",G5&lt;&gt;""),"no dates - assumed 1 night",IF(Q5="","",IF(Q5&gt;1.5,"check: markup &gt;150%",IF(Q5&lt;0,"below cost",""))))</f>
        <v/>
      </c>
    </row>
    <row r="6" customFormat="false" ht="15" hidden="false" customHeight="false" outlineLevel="0" collapsed="false">
      <c r="A6" s="9" t="s">
        <v>14</v>
      </c>
      <c r="B6" s="9" t="s">
        <v>195</v>
      </c>
      <c r="C6" s="9" t="s">
        <v>44</v>
      </c>
      <c r="D6" s="10" t="s">
        <v>45</v>
      </c>
      <c r="E6" s="10" t="s">
        <v>46</v>
      </c>
      <c r="F6" s="9" t="n">
        <f aca="false">IF(OR(D6="",E6=""),1,MAX(1,DATEVALUE(E6)-DATEVALUE(D6)))</f>
        <v>3</v>
      </c>
      <c r="G6" s="11" t="n">
        <v>39692</v>
      </c>
      <c r="H6" s="11" t="n">
        <v>39117</v>
      </c>
      <c r="I6" s="11"/>
      <c r="J6" s="11"/>
      <c r="K6" s="11"/>
      <c r="L6" s="12" t="n">
        <v>404.28</v>
      </c>
      <c r="M6" s="13" t="n">
        <v>0.05</v>
      </c>
      <c r="N6" s="14" t="n">
        <f aca="false">IF(G6="","",G6/F6)</f>
        <v>13230.6666666667</v>
      </c>
      <c r="O6" s="14" t="n">
        <f aca="false">IF(COUNT(H6:K6)=0,"",MIN(H6:K6)/F6)</f>
        <v>13039</v>
      </c>
      <c r="P6" s="14" t="n">
        <f aca="false">IF(L6="","",L6*95/F6)</f>
        <v>12802.2</v>
      </c>
      <c r="Q6" s="15" t="n">
        <f aca="false">IF(OR(N6="",O6=""),"",(IF(AND(N6&gt;7500,O6&gt;7500),O6/(1+IF(O6&lt;=1000,0,IF(O6&lt;=7500,0.05,0.18)))-IF(AND(N6&gt;7500,O6&gt;7500),N6/1.18,N6),(O6-IF(AND(N6&gt;7500,O6&gt;7500),N6/1.18,N6))/(1+IF(O6&lt;=1000,0,IF(O6&lt;=7500,0.05,0.18)))))/(IF(AND(N6&gt;7500,O6&gt;7500),N6/1.18,N6)))</f>
        <v>-0.0144865464073364</v>
      </c>
      <c r="R6" s="15" t="n">
        <f aca="false">IF(OR(N6="",O6=""),"",((O6-N6)/1.18)/N6)</f>
        <v>-0.0122767342435055</v>
      </c>
      <c r="S6" s="15" t="n">
        <f aca="false">IF(OR(P6="",O6=""),"",(P6-O6)/O6)</f>
        <v>-0.0181609019096557</v>
      </c>
      <c r="T6" s="9" t="str">
        <f aca="false">IF(AND(D6="",G6&lt;&gt;""),"no dates - assumed 1 night",IF(Q6="","",IF(Q6&gt;1.5,"check: markup &gt;150%",IF(Q6&lt;0,"below cost",""))))</f>
        <v>below cost</v>
      </c>
    </row>
    <row r="7" customFormat="false" ht="15" hidden="false" customHeight="false" outlineLevel="0" collapsed="false">
      <c r="A7" s="9" t="s">
        <v>14</v>
      </c>
      <c r="B7" s="9" t="s">
        <v>195</v>
      </c>
      <c r="C7" s="9" t="s">
        <v>47</v>
      </c>
      <c r="D7" s="10" t="s">
        <v>48</v>
      </c>
      <c r="E7" s="10" t="s">
        <v>49</v>
      </c>
      <c r="F7" s="9" t="n">
        <f aca="false">IF(OR(D7="",E7=""),1,MAX(1,DATEVALUE(E7)-DATEVALUE(D7)))</f>
        <v>3</v>
      </c>
      <c r="G7" s="11" t="n">
        <v>58319</v>
      </c>
      <c r="H7" s="11" t="n">
        <v>63720</v>
      </c>
      <c r="I7" s="11"/>
      <c r="J7" s="11"/>
      <c r="K7" s="11"/>
      <c r="L7" s="12" t="n">
        <v>605.14</v>
      </c>
      <c r="M7" s="13" t="n">
        <v>0.06</v>
      </c>
      <c r="N7" s="14" t="n">
        <f aca="false">IF(G7="","",G7/F7)</f>
        <v>19439.6666666667</v>
      </c>
      <c r="O7" s="14" t="n">
        <f aca="false">IF(COUNT(H7:K7)=0,"",MIN(H7:K7)/F7)</f>
        <v>21240</v>
      </c>
      <c r="P7" s="14" t="n">
        <f aca="false">IF(L7="","",L7*95/F7)</f>
        <v>19162.7666666667</v>
      </c>
      <c r="Q7" s="15" t="n">
        <f aca="false">IF(OR(N7="",O7=""),"",(IF(AND(N7&gt;7500,O7&gt;7500),O7/(1+IF(O7&lt;=1000,0,IF(O7&lt;=7500,0.05,0.18)))-IF(AND(N7&gt;7500,O7&gt;7500),N7/1.18,N7),(O7-IF(AND(N7&gt;7500,O7&gt;7500),N7/1.18,N7))/(1+IF(O7&lt;=1000,0,IF(O7&lt;=7500,0.05,0.18)))))/(IF(AND(N7&gt;7500,O7&gt;7500),N7/1.18,N7)))</f>
        <v>0.0926113273547213</v>
      </c>
      <c r="R7" s="15" t="n">
        <f aca="false">IF(OR(N7="",O7=""),"",((O7-N7)/1.18)/N7)</f>
        <v>0.0784841757243402</v>
      </c>
      <c r="S7" s="15" t="n">
        <f aca="false">IF(OR(P7="",O7=""),"",(P7-O7)/O7)</f>
        <v>-0.0977981795354677</v>
      </c>
      <c r="T7" s="9" t="str">
        <f aca="false">IF(AND(D7="",G7&lt;&gt;""),"no dates - assumed 1 night",IF(Q7="","",IF(Q7&gt;1.5,"check: markup &gt;150%",IF(Q7&lt;0,"below cost",""))))</f>
        <v/>
      </c>
    </row>
    <row r="8" customFormat="false" ht="15" hidden="false" customHeight="false" outlineLevel="0" collapsed="false">
      <c r="A8" s="9" t="s">
        <v>14</v>
      </c>
      <c r="B8" s="9" t="s">
        <v>195</v>
      </c>
      <c r="C8" s="9" t="s">
        <v>54</v>
      </c>
      <c r="D8" s="10" t="s">
        <v>55</v>
      </c>
      <c r="E8" s="10" t="s">
        <v>56</v>
      </c>
      <c r="F8" s="9" t="n">
        <f aca="false">IF(OR(D8="",E8=""),1,MAX(1,DATEVALUE(E8)-DATEVALUE(D8)))</f>
        <v>3</v>
      </c>
      <c r="G8" s="11" t="n">
        <v>51723</v>
      </c>
      <c r="H8" s="11" t="n">
        <v>56640</v>
      </c>
      <c r="I8" s="11"/>
      <c r="J8" s="11"/>
      <c r="K8" s="11"/>
      <c r="L8" s="12" t="n">
        <v>596.47</v>
      </c>
      <c r="M8" s="13" t="n">
        <v>0.14</v>
      </c>
      <c r="N8" s="14" t="n">
        <f aca="false">IF(G8="","",G8/F8)</f>
        <v>17241</v>
      </c>
      <c r="O8" s="14" t="n">
        <f aca="false">IF(COUNT(H8:K8)=0,"",MIN(H8:K8)/F8)</f>
        <v>18880</v>
      </c>
      <c r="P8" s="14" t="n">
        <f aca="false">IF(L8="","",L8*95/F8)</f>
        <v>18888.2166666667</v>
      </c>
      <c r="Q8" s="15" t="n">
        <f aca="false">IF(OR(N8="",O8=""),"",(IF(AND(N8&gt;7500,O8&gt;7500),O8/(1+IF(O8&lt;=1000,0,IF(O8&lt;=7500,0.05,0.18)))-IF(AND(N8&gt;7500,O8&gt;7500),N8/1.18,N8),(O8-IF(AND(N8&gt;7500,O8&gt;7500),N8/1.18,N8))/(1+IF(O8&lt;=1000,0,IF(O8&lt;=7500,0.05,0.18)))))/(IF(AND(N8&gt;7500,O8&gt;7500),N8/1.18,N8)))</f>
        <v>0.095064091410011</v>
      </c>
      <c r="R8" s="15" t="n">
        <f aca="false">IF(OR(N8="",O8=""),"",((O8-N8)/1.18)/N8)</f>
        <v>0.0805627893305178</v>
      </c>
      <c r="S8" s="15" t="n">
        <f aca="false">IF(OR(P8="",O8=""),"",(P8-O8)/O8)</f>
        <v>0.000435204802259913</v>
      </c>
      <c r="T8" s="9" t="str">
        <f aca="false">IF(AND(D8="",G8&lt;&gt;""),"no dates - assumed 1 night",IF(Q8="","",IF(Q8&gt;1.5,"check: markup &gt;150%",IF(Q8&lt;0,"below cost",""))))</f>
        <v/>
      </c>
    </row>
    <row r="9" customFormat="false" ht="15" hidden="false" customHeight="false" outlineLevel="0" collapsed="false">
      <c r="A9" s="9" t="s">
        <v>14</v>
      </c>
      <c r="B9" s="9" t="s">
        <v>196</v>
      </c>
      <c r="C9" s="9" t="s">
        <v>44</v>
      </c>
      <c r="D9" s="10" t="s">
        <v>42</v>
      </c>
      <c r="E9" s="10" t="s">
        <v>43</v>
      </c>
      <c r="F9" s="9" t="n">
        <f aca="false">IF(OR(D9="",E9=""),1,MAX(1,DATEVALUE(E9)-DATEVALUE(D9)))</f>
        <v>3</v>
      </c>
      <c r="G9" s="11" t="n">
        <v>41881</v>
      </c>
      <c r="H9" s="11" t="n">
        <v>35310</v>
      </c>
      <c r="I9" s="11"/>
      <c r="J9" s="11"/>
      <c r="K9" s="11"/>
      <c r="L9" s="12" t="n">
        <v>522.33</v>
      </c>
      <c r="M9" s="13" t="n">
        <v>0.22</v>
      </c>
      <c r="N9" s="14" t="n">
        <f aca="false">IF(G9="","",G9/F9)</f>
        <v>13960.3333333333</v>
      </c>
      <c r="O9" s="14" t="n">
        <f aca="false">IF(COUNT(H9:K9)=0,"",MIN(H9:K9)/F9)</f>
        <v>11770</v>
      </c>
      <c r="P9" s="14" t="n">
        <f aca="false">IF(L9="","",L9*95/F9)</f>
        <v>16540.45</v>
      </c>
      <c r="Q9" s="15" t="n">
        <f aca="false">IF(OR(N9="",O9=""),"",(IF(AND(N9&gt;7500,O9&gt;7500),O9/(1+IF(O9&lt;=1000,0,IF(O9&lt;=7500,0.05,0.18)))-IF(AND(N9&gt;7500,O9&gt;7500),N9/1.18,N9),(O9-IF(AND(N9&gt;7500,O9&gt;7500),N9/1.18,N9))/(1+IF(O9&lt;=1000,0,IF(O9&lt;=7500,0.05,0.18)))))/(IF(AND(N9&gt;7500,O9&gt;7500),N9/1.18,N9)))</f>
        <v>-0.156896922232039</v>
      </c>
      <c r="R9" s="15" t="n">
        <f aca="false">IF(OR(N9="",O9=""),"",((O9-N9)/1.18)/N9)</f>
        <v>-0.132963493416982</v>
      </c>
      <c r="S9" s="15" t="n">
        <f aca="false">IF(OR(P9="",O9=""),"",(P9-O9)/O9)</f>
        <v>0.405305862361937</v>
      </c>
      <c r="T9" s="9" t="str">
        <f aca="false">IF(AND(D9="",G9&lt;&gt;""),"no dates - assumed 1 night",IF(Q9="","",IF(Q9&gt;1.5,"check: markup &gt;150%",IF(Q9&lt;0,"below cost",""))))</f>
        <v>below cost</v>
      </c>
    </row>
    <row r="10" customFormat="false" ht="15" hidden="false" customHeight="false" outlineLevel="0" collapsed="false">
      <c r="A10" s="9" t="s">
        <v>14</v>
      </c>
      <c r="B10" s="9" t="s">
        <v>196</v>
      </c>
      <c r="C10" s="9" t="s">
        <v>47</v>
      </c>
      <c r="D10" s="10" t="s">
        <v>127</v>
      </c>
      <c r="E10" s="10" t="s">
        <v>128</v>
      </c>
      <c r="F10" s="9" t="n">
        <f aca="false">IF(OR(D10="",E10=""),1,MAX(1,DATEVALUE(E10)-DATEVALUE(D10)))</f>
        <v>3</v>
      </c>
      <c r="G10" s="11" t="n">
        <v>47379</v>
      </c>
      <c r="H10" s="11" t="n">
        <v>52618</v>
      </c>
      <c r="I10" s="11"/>
      <c r="J10" s="11"/>
      <c r="K10" s="11"/>
      <c r="L10" s="12" t="n">
        <v>490.69</v>
      </c>
      <c r="M10" s="13" t="n">
        <v>0.11</v>
      </c>
      <c r="N10" s="14" t="n">
        <f aca="false">IF(G10="","",G10/F10)</f>
        <v>15793</v>
      </c>
      <c r="O10" s="14" t="n">
        <f aca="false">IF(COUNT(H10:K10)=0,"",MIN(H10:K10)/F10)</f>
        <v>17539.3333333333</v>
      </c>
      <c r="P10" s="14" t="n">
        <f aca="false">IF(L10="","",L10*95/F10)</f>
        <v>15538.5166666667</v>
      </c>
      <c r="Q10" s="15" t="n">
        <f aca="false">IF(OR(N10="",O10=""),"",(IF(AND(N10&gt;7500,O10&gt;7500),O10/(1+IF(O10&lt;=1000,0,IF(O10&lt;=7500,0.05,0.18)))-IF(AND(N10&gt;7500,O10&gt;7500),N10/1.18,N10),(O10-IF(AND(N10&gt;7500,O10&gt;7500),N10/1.18,N10))/(1+IF(O10&lt;=1000,0,IF(O10&lt;=7500,0.05,0.18)))))/(IF(AND(N10&gt;7500,O10&gt;7500),N10/1.18,N10)))</f>
        <v>0.110576415711602</v>
      </c>
      <c r="R10" s="15" t="n">
        <f aca="false">IF(OR(N10="",O10=""),"",((O10-N10)/1.18)/N10)</f>
        <v>0.0937088268742391</v>
      </c>
      <c r="S10" s="15" t="n">
        <f aca="false">IF(OR(P10="",O10=""),"",(P10-O10)/O10)</f>
        <v>-0.114075981603253</v>
      </c>
      <c r="T10" s="9" t="str">
        <f aca="false">IF(AND(D10="",G10&lt;&gt;""),"no dates - assumed 1 night",IF(Q10="","",IF(Q10&gt;1.5,"check: markup &gt;150%",IF(Q10&lt;0,"below cost",""))))</f>
        <v/>
      </c>
    </row>
    <row r="11" customFormat="false" ht="15" hidden="false" customHeight="false" outlineLevel="0" collapsed="false">
      <c r="A11" s="9" t="s">
        <v>14</v>
      </c>
      <c r="B11" s="9" t="s">
        <v>197</v>
      </c>
      <c r="C11" s="9" t="s">
        <v>41</v>
      </c>
      <c r="D11" s="10" t="s">
        <v>42</v>
      </c>
      <c r="E11" s="10" t="s">
        <v>43</v>
      </c>
      <c r="F11" s="9" t="n">
        <f aca="false">IF(OR(D11="",E11=""),1,MAX(1,DATEVALUE(E11)-DATEVALUE(D11)))</f>
        <v>3</v>
      </c>
      <c r="G11" s="11" t="n">
        <v>20439</v>
      </c>
      <c r="H11" s="11" t="n">
        <v>18073</v>
      </c>
      <c r="I11" s="11"/>
      <c r="J11" s="11"/>
      <c r="K11" s="11"/>
      <c r="L11" s="12" t="n">
        <v>282.29</v>
      </c>
      <c r="M11" s="13" t="n">
        <v>0.24</v>
      </c>
      <c r="N11" s="14" t="n">
        <f aca="false">IF(G11="","",G11/F11)</f>
        <v>6813</v>
      </c>
      <c r="O11" s="14" t="n">
        <f aca="false">IF(COUNT(H11:K11)=0,"",MIN(H11:K11)/F11)</f>
        <v>6024.33333333333</v>
      </c>
      <c r="P11" s="14" t="n">
        <f aca="false">IF(L11="","",L11*95/F11)</f>
        <v>8939.18333333333</v>
      </c>
      <c r="Q11" s="15" t="n">
        <f aca="false">IF(OR(N11="",O11=""),"",(IF(AND(N11&gt;7500,O11&gt;7500),O11/(1+IF(O11&lt;=1000,0,IF(O11&lt;=7500,0.05,0.18)))-IF(AND(N11&gt;7500,O11&gt;7500),N11/1.18,N11),(O11-IF(AND(N11&gt;7500,O11&gt;7500),N11/1.18,N11))/(1+IF(O11&lt;=1000,0,IF(O11&lt;=7500,0.05,0.18)))))/(IF(AND(N11&gt;7500,O11&gt;7500),N11/1.18,N11)))</f>
        <v>-0.110246750493338</v>
      </c>
      <c r="R11" s="15" t="n">
        <f aca="false">IF(OR(N11="",O11=""),"",((O11-N11)/1.18)/N11)</f>
        <v>-0.0981009220491566</v>
      </c>
      <c r="S11" s="15" t="n">
        <f aca="false">IF(OR(P11="",O11=""),"",(P11-O11)/O11)</f>
        <v>0.483846068721297</v>
      </c>
      <c r="T11" s="9" t="str">
        <f aca="false">IF(AND(D11="",G11&lt;&gt;""),"no dates - assumed 1 night",IF(Q11="","",IF(Q11&gt;1.5,"check: markup &gt;150%",IF(Q11&lt;0,"below cost",""))))</f>
        <v>below cost</v>
      </c>
    </row>
    <row r="12" customFormat="false" ht="15" hidden="false" customHeight="false" outlineLevel="0" collapsed="false">
      <c r="A12" s="9" t="s">
        <v>14</v>
      </c>
      <c r="B12" s="9" t="s">
        <v>197</v>
      </c>
      <c r="C12" s="9" t="s">
        <v>44</v>
      </c>
      <c r="D12" s="10" t="s">
        <v>45</v>
      </c>
      <c r="E12" s="10" t="s">
        <v>46</v>
      </c>
      <c r="F12" s="9" t="n">
        <f aca="false">IF(OR(D12="",E12=""),1,MAX(1,DATEVALUE(E12)-DATEVALUE(D12)))</f>
        <v>3</v>
      </c>
      <c r="G12" s="11" t="n">
        <v>29837</v>
      </c>
      <c r="H12" s="11" t="n">
        <v>17494</v>
      </c>
      <c r="I12" s="11"/>
      <c r="J12" s="11"/>
      <c r="K12" s="11"/>
      <c r="L12" s="12" t="n">
        <v>282.29</v>
      </c>
      <c r="M12" s="13" t="n">
        <v>0.24</v>
      </c>
      <c r="N12" s="14" t="n">
        <f aca="false">IF(G12="","",G12/F12)</f>
        <v>9945.66666666667</v>
      </c>
      <c r="O12" s="14" t="n">
        <f aca="false">IF(COUNT(H12:K12)=0,"",MIN(H12:K12)/F12)</f>
        <v>5831.33333333333</v>
      </c>
      <c r="P12" s="14" t="n">
        <f aca="false">IF(L12="","",L12*95/F12)</f>
        <v>8939.18333333333</v>
      </c>
      <c r="Q12" s="15" t="n">
        <f aca="false">IF(OR(N12="",O12=""),"",(IF(AND(N12&gt;7500,O12&gt;7500),O12/(1+IF(O12&lt;=1000,0,IF(O12&lt;=7500,0.05,0.18)))-IF(AND(N12&gt;7500,O12&gt;7500),N12/1.18,N12),(O12-IF(AND(N12&gt;7500,O12&gt;7500),N12/1.18,N12))/(1+IF(O12&lt;=1000,0,IF(O12&lt;=7500,0.05,0.18)))))/(IF(AND(N12&gt;7500,O12&gt;7500),N12/1.18,N12)))</f>
        <v>-0.393981904857663</v>
      </c>
      <c r="R12" s="15" t="n">
        <f aca="false">IF(OR(N12="",O12=""),"",((O12-N12)/1.18)/N12)</f>
        <v>-0.350577118729277</v>
      </c>
      <c r="S12" s="15" t="n">
        <f aca="false">IF(OR(P12="",O12=""),"",(P12-O12)/O12)</f>
        <v>0.532957013833315</v>
      </c>
      <c r="T12" s="9" t="str">
        <f aca="false">IF(AND(D12="",G12&lt;&gt;""),"no dates - assumed 1 night",IF(Q12="","",IF(Q12&gt;1.5,"check: markup &gt;150%",IF(Q12&lt;0,"below cost",""))))</f>
        <v>below cost</v>
      </c>
    </row>
    <row r="13" customFormat="false" ht="15" hidden="false" customHeight="false" outlineLevel="0" collapsed="false">
      <c r="A13" s="9" t="s">
        <v>14</v>
      </c>
      <c r="B13" s="9" t="s">
        <v>197</v>
      </c>
      <c r="C13" s="9" t="s">
        <v>47</v>
      </c>
      <c r="D13" s="10" t="s">
        <v>48</v>
      </c>
      <c r="E13" s="10" t="s">
        <v>49</v>
      </c>
      <c r="F13" s="9" t="n">
        <f aca="false">IF(OR(D13="",E13=""),1,MAX(1,DATEVALUE(E13)-DATEVALUE(D13)))</f>
        <v>3</v>
      </c>
      <c r="G13" s="11" t="n">
        <v>31772</v>
      </c>
      <c r="H13" s="11" t="n">
        <v>18523</v>
      </c>
      <c r="I13" s="11"/>
      <c r="J13" s="11"/>
      <c r="K13" s="11"/>
      <c r="L13" s="12" t="n">
        <v>345.02</v>
      </c>
      <c r="M13" s="13" t="n">
        <v>0.14</v>
      </c>
      <c r="N13" s="14" t="n">
        <f aca="false">IF(G13="","",G13/F13)</f>
        <v>10590.6666666667</v>
      </c>
      <c r="O13" s="14" t="n">
        <f aca="false">IF(COUNT(H13:K13)=0,"",MIN(H13:K13)/F13)</f>
        <v>6174.33333333333</v>
      </c>
      <c r="P13" s="14" t="n">
        <f aca="false">IF(L13="","",L13*95/F13)</f>
        <v>10925.6333333333</v>
      </c>
      <c r="Q13" s="15" t="n">
        <f aca="false">IF(OR(N13="",O13=""),"",(IF(AND(N13&gt;7500,O13&gt;7500),O13/(1+IF(O13&lt;=1000,0,IF(O13&lt;=7500,0.05,0.18)))-IF(AND(N13&gt;7500,O13&gt;7500),N13/1.18,N13),(O13-IF(AND(N13&gt;7500,O13&gt;7500),N13/1.18,N13))/(1+IF(O13&lt;=1000,0,IF(O13&lt;=7500,0.05,0.18)))))/(IF(AND(N13&gt;7500,O13&gt;7500),N13/1.18,N13)))</f>
        <v>-0.397145135279342</v>
      </c>
      <c r="R13" s="15" t="n">
        <f aca="false">IF(OR(N13="",O13=""),"",((O13-N13)/1.18)/N13)</f>
        <v>-0.353391857663821</v>
      </c>
      <c r="S13" s="15" t="n">
        <f aca="false">IF(OR(P13="",O13=""),"",(P13-O13)/O13)</f>
        <v>0.769524375101226</v>
      </c>
      <c r="T13" s="9" t="str">
        <f aca="false">IF(AND(D13="",G13&lt;&gt;""),"no dates - assumed 1 night",IF(Q13="","",IF(Q13&gt;1.5,"check: markup &gt;150%",IF(Q13&lt;0,"below cost",""))))</f>
        <v>below cost</v>
      </c>
    </row>
    <row r="14" customFormat="false" ht="15" hidden="false" customHeight="false" outlineLevel="0" collapsed="false">
      <c r="A14" s="9" t="s">
        <v>14</v>
      </c>
      <c r="B14" s="9" t="s">
        <v>198</v>
      </c>
      <c r="C14" s="9" t="s">
        <v>41</v>
      </c>
      <c r="D14" s="10" t="s">
        <v>42</v>
      </c>
      <c r="E14" s="10" t="s">
        <v>43</v>
      </c>
      <c r="F14" s="9" t="n">
        <f aca="false">IF(OR(D14="",E14=""),1,MAX(1,DATEVALUE(E14)-DATEVALUE(D14)))</f>
        <v>3</v>
      </c>
      <c r="G14" s="11" t="n">
        <v>10482</v>
      </c>
      <c r="H14" s="11" t="n">
        <v>8376</v>
      </c>
      <c r="I14" s="11"/>
      <c r="J14" s="11"/>
      <c r="K14" s="11"/>
      <c r="L14" s="12" t="n">
        <v>118.41</v>
      </c>
      <c r="M14" s="13" t="n">
        <v>0.12</v>
      </c>
      <c r="N14" s="14" t="n">
        <f aca="false">IF(G14="","",G14/F14)</f>
        <v>3494</v>
      </c>
      <c r="O14" s="14" t="n">
        <f aca="false">IF(COUNT(H14:K14)=0,"",MIN(H14:K14)/F14)</f>
        <v>2792</v>
      </c>
      <c r="P14" s="14" t="n">
        <f aca="false">IF(L14="","",L14*95/F14)</f>
        <v>3749.65</v>
      </c>
      <c r="Q14" s="15" t="n">
        <f aca="false">IF(OR(N14="",O14=""),"",(IF(AND(N14&gt;7500,O14&gt;7500),O14/(1+IF(O14&lt;=1000,0,IF(O14&lt;=7500,0.05,0.18)))-IF(AND(N14&gt;7500,O14&gt;7500),N14/1.18,N14),(O14-IF(AND(N14&gt;7500,O14&gt;7500),N14/1.18,N14))/(1+IF(O14&lt;=1000,0,IF(O14&lt;=7500,0.05,0.18)))))/(IF(AND(N14&gt;7500,O14&gt;7500),N14/1.18,N14)))</f>
        <v>-0.191348434050209</v>
      </c>
      <c r="R14" s="15" t="n">
        <f aca="false">IF(OR(N14="",O14=""),"",((O14-N14)/1.18)/N14)</f>
        <v>-0.170267674366711</v>
      </c>
      <c r="S14" s="15" t="n">
        <f aca="false">IF(OR(P14="",O14=""),"",(P14-O14)/O14)</f>
        <v>0.342997851002865</v>
      </c>
      <c r="T14" s="9" t="str">
        <f aca="false">IF(AND(D14="",G14&lt;&gt;""),"no dates - assumed 1 night",IF(Q14="","",IF(Q14&gt;1.5,"check: markup &gt;150%",IF(Q14&lt;0,"below cost",""))))</f>
        <v>below cost</v>
      </c>
    </row>
    <row r="15" customFormat="false" ht="15" hidden="false" customHeight="false" outlineLevel="0" collapsed="false">
      <c r="A15" s="9" t="s">
        <v>14</v>
      </c>
      <c r="B15" s="9" t="s">
        <v>198</v>
      </c>
      <c r="C15" s="9" t="s">
        <v>44</v>
      </c>
      <c r="D15" s="10" t="s">
        <v>45</v>
      </c>
      <c r="E15" s="10" t="s">
        <v>46</v>
      </c>
      <c r="F15" s="9" t="n">
        <f aca="false">IF(OR(D15="",E15=""),1,MAX(1,DATEVALUE(E15)-DATEVALUE(D15)))</f>
        <v>3</v>
      </c>
      <c r="G15" s="11" t="n">
        <v>10502</v>
      </c>
      <c r="H15" s="11" t="n">
        <v>8376</v>
      </c>
      <c r="I15" s="11"/>
      <c r="J15" s="11"/>
      <c r="K15" s="11"/>
      <c r="L15" s="12" t="n">
        <v>131.7</v>
      </c>
      <c r="M15" s="13" t="n">
        <v>0.17</v>
      </c>
      <c r="N15" s="14" t="n">
        <f aca="false">IF(G15="","",G15/F15)</f>
        <v>3500.66666666667</v>
      </c>
      <c r="O15" s="14" t="n">
        <f aca="false">IF(COUNT(H15:K15)=0,"",MIN(H15:K15)/F15)</f>
        <v>2792</v>
      </c>
      <c r="P15" s="14" t="n">
        <f aca="false">IF(L15="","",L15*95/F15)</f>
        <v>4170.5</v>
      </c>
      <c r="Q15" s="15" t="n">
        <f aca="false">IF(OR(N15="",O15=""),"",(IF(AND(N15&gt;7500,O15&gt;7500),O15/(1+IF(O15&lt;=1000,0,IF(O15&lt;=7500,0.05,0.18)))-IF(AND(N15&gt;7500,O15&gt;7500),N15/1.18,N15),(O15-IF(AND(N15&gt;7500,O15&gt;7500),N15/1.18,N15))/(1+IF(O15&lt;=1000,0,IF(O15&lt;=7500,0.05,0.18)))))/(IF(AND(N15&gt;7500,O15&gt;7500),N15/1.18,N15)))</f>
        <v>-0.192797743740421</v>
      </c>
      <c r="R15" s="15" t="n">
        <f aca="false">IF(OR(N15="",O15=""),"",((O15-N15)/1.18)/N15)</f>
        <v>-0.17155731434529</v>
      </c>
      <c r="S15" s="15" t="n">
        <f aca="false">IF(OR(P15="",O15=""),"",(P15-O15)/O15)</f>
        <v>0.493732091690544</v>
      </c>
      <c r="T15" s="9" t="str">
        <f aca="false">IF(AND(D15="",G15&lt;&gt;""),"no dates - assumed 1 night",IF(Q15="","",IF(Q15&gt;1.5,"check: markup &gt;150%",IF(Q15&lt;0,"below cost",""))))</f>
        <v>below cost</v>
      </c>
    </row>
    <row r="16" customFormat="false" ht="15" hidden="false" customHeight="false" outlineLevel="0" collapsed="false">
      <c r="A16" s="9" t="s">
        <v>14</v>
      </c>
      <c r="B16" s="9" t="s">
        <v>198</v>
      </c>
      <c r="C16" s="9" t="s">
        <v>47</v>
      </c>
      <c r="D16" s="10" t="s">
        <v>48</v>
      </c>
      <c r="E16" s="10" t="s">
        <v>49</v>
      </c>
      <c r="F16" s="9" t="n">
        <f aca="false">IF(OR(D16="",E16=""),1,MAX(1,DATEVALUE(E16)-DATEVALUE(D16)))</f>
        <v>3</v>
      </c>
      <c r="G16" s="11" t="n">
        <v>15688</v>
      </c>
      <c r="H16" s="11" t="n">
        <v>16770</v>
      </c>
      <c r="I16" s="11"/>
      <c r="J16" s="11"/>
      <c r="K16" s="11"/>
      <c r="L16" s="12" t="n">
        <v>202.04</v>
      </c>
      <c r="M16" s="13" t="n">
        <v>0.14</v>
      </c>
      <c r="N16" s="14" t="n">
        <f aca="false">IF(G16="","",G16/F16)</f>
        <v>5229.33333333333</v>
      </c>
      <c r="O16" s="14" t="n">
        <f aca="false">IF(COUNT(H16:K16)=0,"",MIN(H16:K16)/F16)</f>
        <v>5590</v>
      </c>
      <c r="P16" s="14" t="n">
        <f aca="false">IF(L16="","",L16*95/F16)</f>
        <v>6397.93333333333</v>
      </c>
      <c r="Q16" s="15" t="n">
        <f aca="false">IF(OR(N16="",O16=""),"",(IF(AND(N16&gt;7500,O16&gt;7500),O16/(1+IF(O16&lt;=1000,0,IF(O16&lt;=7500,0.05,0.18)))-IF(AND(N16&gt;7500,O16&gt;7500),N16/1.18,N16),(O16-IF(AND(N16&gt;7500,O16&gt;7500),N16/1.18,N16))/(1+IF(O16&lt;=1000,0,IF(O16&lt;=7500,0.05,0.18)))))/(IF(AND(N16&gt;7500,O16&gt;7500),N16/1.18,N16)))</f>
        <v>0.0656856317233676</v>
      </c>
      <c r="R16" s="15" t="n">
        <f aca="false">IF(OR(N16="",O16=""),"",((O16-N16)/1.18)/N16)</f>
        <v>0.058449079075878</v>
      </c>
      <c r="S16" s="15" t="n">
        <f aca="false">IF(OR(P16="",O16=""),"",(P16-O16)/O16)</f>
        <v>0.144531902206321</v>
      </c>
      <c r="T16" s="9" t="str">
        <f aca="false">IF(AND(D16="",G16&lt;&gt;""),"no dates - assumed 1 night",IF(Q16="","",IF(Q16&gt;1.5,"check: markup &gt;150%",IF(Q16&lt;0,"below cost",""))))</f>
        <v/>
      </c>
    </row>
    <row r="17" customFormat="false" ht="15" hidden="false" customHeight="false" outlineLevel="0" collapsed="false">
      <c r="A17" s="9" t="s">
        <v>14</v>
      </c>
      <c r="B17" s="9" t="s">
        <v>199</v>
      </c>
      <c r="C17" s="9" t="s">
        <v>41</v>
      </c>
      <c r="D17" s="10" t="s">
        <v>42</v>
      </c>
      <c r="E17" s="10" t="s">
        <v>43</v>
      </c>
      <c r="F17" s="9" t="n">
        <f aca="false">IF(OR(D17="",E17=""),1,MAX(1,DATEVALUE(E17)-DATEVALUE(D17)))</f>
        <v>3</v>
      </c>
      <c r="G17" s="11" t="n">
        <v>21527</v>
      </c>
      <c r="H17" s="11" t="n">
        <v>30774</v>
      </c>
      <c r="I17" s="11"/>
      <c r="J17" s="11"/>
      <c r="K17" s="11"/>
      <c r="L17" s="12" t="n">
        <v>325.21</v>
      </c>
      <c r="M17" s="13" t="n">
        <v>0.12</v>
      </c>
      <c r="N17" s="14" t="n">
        <f aca="false">IF(G17="","",G17/F17)</f>
        <v>7175.66666666667</v>
      </c>
      <c r="O17" s="14" t="n">
        <f aca="false">IF(COUNT(H17:K17)=0,"",MIN(H17:K17)/F17)</f>
        <v>10258</v>
      </c>
      <c r="P17" s="14" t="n">
        <f aca="false">IF(L17="","",L17*95/F17)</f>
        <v>10298.3166666667</v>
      </c>
      <c r="Q17" s="15" t="n">
        <f aca="false">IF(OR(N17="",O17=""),"",(IF(AND(N17&gt;7500,O17&gt;7500),O17/(1+IF(O17&lt;=1000,0,IF(O17&lt;=7500,0.05,0.18)))-IF(AND(N17&gt;7500,O17&gt;7500),N17/1.18,N17),(O17-IF(AND(N17&gt;7500,O17&gt;7500),N17/1.18,N17))/(1+IF(O17&lt;=1000,0,IF(O17&lt;=7500,0.05,0.18)))))/(IF(AND(N17&gt;7500,O17&gt;7500),N17/1.18,N17)))</f>
        <v>0.364028460907981</v>
      </c>
      <c r="R17" s="15" t="n">
        <f aca="false">IF(OR(N17="",O17=""),"",((O17-N17)/1.18)/N17)</f>
        <v>0.364028460907981</v>
      </c>
      <c r="S17" s="15" t="n">
        <f aca="false">IF(OR(P17="",O17=""),"",(P17-O17)/O17)</f>
        <v>0.00393026580879954</v>
      </c>
      <c r="T17" s="9" t="str">
        <f aca="false">IF(AND(D17="",G17&lt;&gt;""),"no dates - assumed 1 night",IF(Q17="","",IF(Q17&gt;1.5,"check: markup &gt;150%",IF(Q17&lt;0,"below cost",""))))</f>
        <v/>
      </c>
    </row>
    <row r="18" customFormat="false" ht="15" hidden="false" customHeight="false" outlineLevel="0" collapsed="false">
      <c r="A18" s="9" t="s">
        <v>14</v>
      </c>
      <c r="B18" s="9" t="s">
        <v>199</v>
      </c>
      <c r="C18" s="9" t="s">
        <v>44</v>
      </c>
      <c r="D18" s="10" t="s">
        <v>45</v>
      </c>
      <c r="E18" s="10" t="s">
        <v>46</v>
      </c>
      <c r="F18" s="9" t="n">
        <f aca="false">IF(OR(D18="",E18=""),1,MAX(1,DATEVALUE(E18)-DATEVALUE(D18)))</f>
        <v>3</v>
      </c>
      <c r="G18" s="11" t="n">
        <v>18329</v>
      </c>
      <c r="H18" s="11" t="n">
        <v>26881</v>
      </c>
      <c r="I18" s="11"/>
      <c r="J18" s="11"/>
      <c r="K18" s="11"/>
      <c r="L18" s="12" t="n">
        <v>291.54</v>
      </c>
      <c r="M18" s="13" t="n">
        <v>0.12</v>
      </c>
      <c r="N18" s="14" t="n">
        <f aca="false">IF(G18="","",G18/F18)</f>
        <v>6109.66666666667</v>
      </c>
      <c r="O18" s="14" t="n">
        <f aca="false">IF(COUNT(H18:K18)=0,"",MIN(H18:K18)/F18)</f>
        <v>8960.33333333333</v>
      </c>
      <c r="P18" s="14" t="n">
        <f aca="false">IF(L18="","",L18*95/F18)</f>
        <v>9232.1</v>
      </c>
      <c r="Q18" s="15" t="n">
        <f aca="false">IF(OR(N18="",O18=""),"",(IF(AND(N18&gt;7500,O18&gt;7500),O18/(1+IF(O18&lt;=1000,0,IF(O18&lt;=7500,0.05,0.18)))-IF(AND(N18&gt;7500,O18&gt;7500),N18/1.18,N18),(O18-IF(AND(N18&gt;7500,O18&gt;7500),N18/1.18,N18))/(1+IF(O18&lt;=1000,0,IF(O18&lt;=7500,0.05,0.18)))))/(IF(AND(N18&gt;7500,O18&gt;7500),N18/1.18,N18)))</f>
        <v>0.395409330957425</v>
      </c>
      <c r="R18" s="15" t="n">
        <f aca="false">IF(OR(N18="",O18=""),"",((O18-N18)/1.18)/N18)</f>
        <v>0.395409330957425</v>
      </c>
      <c r="S18" s="15" t="n">
        <f aca="false">IF(OR(P18="",O18=""),"",(P18-O18)/O18)</f>
        <v>0.0303299728432722</v>
      </c>
      <c r="T18" s="9" t="str">
        <f aca="false">IF(AND(D18="",G18&lt;&gt;""),"no dates - assumed 1 night",IF(Q18="","",IF(Q18&gt;1.5,"check: markup &gt;150%",IF(Q18&lt;0,"below cost",""))))</f>
        <v/>
      </c>
    </row>
    <row r="19" customFormat="false" ht="15" hidden="false" customHeight="false" outlineLevel="0" collapsed="false">
      <c r="A19" s="9" t="s">
        <v>14</v>
      </c>
      <c r="B19" s="9" t="s">
        <v>199</v>
      </c>
      <c r="C19" s="9" t="s">
        <v>47</v>
      </c>
      <c r="D19" s="10" t="s">
        <v>48</v>
      </c>
      <c r="E19" s="10" t="s">
        <v>49</v>
      </c>
      <c r="F19" s="9" t="n">
        <f aca="false">IF(OR(D19="",E19=""),1,MAX(1,DATEVALUE(E19)-DATEVALUE(D19)))</f>
        <v>3</v>
      </c>
      <c r="G19" s="11" t="n">
        <v>37456</v>
      </c>
      <c r="H19" s="11" t="n">
        <v>40271</v>
      </c>
      <c r="I19" s="11"/>
      <c r="J19" s="11"/>
      <c r="K19" s="11"/>
      <c r="L19" s="12" t="n">
        <v>319.18</v>
      </c>
      <c r="M19" s="13" t="n">
        <v>0.12</v>
      </c>
      <c r="N19" s="14" t="n">
        <f aca="false">IF(G19="","",G19/F19)</f>
        <v>12485.3333333333</v>
      </c>
      <c r="O19" s="14" t="n">
        <f aca="false">IF(COUNT(H19:K19)=0,"",MIN(H19:K19)/F19)</f>
        <v>13423.6666666667</v>
      </c>
      <c r="P19" s="14" t="n">
        <f aca="false">IF(L19="","",L19*95/F19)</f>
        <v>10107.3666666667</v>
      </c>
      <c r="Q19" s="15" t="n">
        <f aca="false">IF(OR(N19="",O19=""),"",(IF(AND(N19&gt;7500,O19&gt;7500),O19/(1+IF(O19&lt;=1000,0,IF(O19&lt;=7500,0.05,0.18)))-IF(AND(N19&gt;7500,O19&gt;7500),N19/1.18,N19),(O19-IF(AND(N19&gt;7500,O19&gt;7500),N19/1.18,N19))/(1+IF(O19&lt;=1000,0,IF(O19&lt;=7500,0.05,0.18)))))/(IF(AND(N19&gt;7500,O19&gt;7500),N19/1.18,N19)))</f>
        <v>0.0751548483554036</v>
      </c>
      <c r="R19" s="15" t="n">
        <f aca="false">IF(OR(N19="",O19=""),"",((O19-N19)/1.18)/N19)</f>
        <v>0.0636905494537318</v>
      </c>
      <c r="S19" s="15" t="n">
        <f aca="false">IF(OR(P19="",O19=""),"",(P19-O19)/O19)</f>
        <v>-0.24704874475429</v>
      </c>
      <c r="T19" s="9" t="str">
        <f aca="false">IF(AND(D19="",G19&lt;&gt;""),"no dates - assumed 1 night",IF(Q19="","",IF(Q19&gt;1.5,"check: markup &gt;150%",IF(Q19&lt;0,"below cost",""))))</f>
        <v/>
      </c>
    </row>
    <row r="20" customFormat="false" ht="15" hidden="false" customHeight="false" outlineLevel="0" collapsed="false">
      <c r="A20" s="9" t="s">
        <v>14</v>
      </c>
      <c r="B20" s="9" t="s">
        <v>199</v>
      </c>
      <c r="C20" s="9" t="s">
        <v>50</v>
      </c>
      <c r="D20" s="10" t="s">
        <v>200</v>
      </c>
      <c r="E20" s="10" t="s">
        <v>130</v>
      </c>
      <c r="F20" s="9" t="n">
        <f aca="false">IF(OR(D20="",E20=""),1,MAX(1,DATEVALUE(E20)-DATEVALUE(D20)))</f>
        <v>5</v>
      </c>
      <c r="G20" s="11" t="n">
        <v>57993</v>
      </c>
      <c r="H20" s="11" t="n">
        <v>66783</v>
      </c>
      <c r="I20" s="11"/>
      <c r="J20" s="11"/>
      <c r="K20" s="11"/>
      <c r="L20" s="12" t="n">
        <v>646.12</v>
      </c>
      <c r="M20" s="13" t="n">
        <v>0.12</v>
      </c>
      <c r="N20" s="14" t="n">
        <f aca="false">IF(G20="","",G20/F20)</f>
        <v>11598.6</v>
      </c>
      <c r="O20" s="14" t="n">
        <f aca="false">IF(COUNT(H20:K20)=0,"",MIN(H20:K20)/F20)</f>
        <v>13356.6</v>
      </c>
      <c r="P20" s="14" t="n">
        <f aca="false">IF(L20="","",L20*95/F20)</f>
        <v>12276.28</v>
      </c>
      <c r="Q20" s="15" t="n">
        <f aca="false">IF(OR(N20="",O20=""),"",(IF(AND(N20&gt;7500,O20&gt;7500),O20/(1+IF(O20&lt;=1000,0,IF(O20&lt;=7500,0.05,0.18)))-IF(AND(N20&gt;7500,O20&gt;7500),N20/1.18,N20),(O20-IF(AND(N20&gt;7500,O20&gt;7500),N20/1.18,N20))/(1+IF(O20&lt;=1000,0,IF(O20&lt;=7500,0.05,0.18)))))/(IF(AND(N20&gt;7500,O20&gt;7500),N20/1.18,N20)))</f>
        <v>0.151570017071026</v>
      </c>
      <c r="R20" s="15" t="n">
        <f aca="false">IF(OR(N20="",O20=""),"",((O20-N20)/1.18)/N20)</f>
        <v>0.128449167009344</v>
      </c>
      <c r="S20" s="15" t="n">
        <f aca="false">IF(OR(P20="",O20=""),"",(P20-O20)/O20)</f>
        <v>-0.080882859410329</v>
      </c>
      <c r="T20" s="9" t="str">
        <f aca="false">IF(AND(D20="",G20&lt;&gt;""),"no dates - assumed 1 night",IF(Q20="","",IF(Q20&gt;1.5,"check: markup &gt;150%",IF(Q20&lt;0,"below cost",""))))</f>
        <v/>
      </c>
    </row>
    <row r="21" customFormat="false" ht="15" hidden="false" customHeight="false" outlineLevel="0" collapsed="false">
      <c r="A21" s="9" t="s">
        <v>14</v>
      </c>
      <c r="B21" s="9" t="s">
        <v>199</v>
      </c>
      <c r="C21" s="9" t="s">
        <v>54</v>
      </c>
      <c r="D21" s="10" t="s">
        <v>55</v>
      </c>
      <c r="E21" s="10" t="s">
        <v>56</v>
      </c>
      <c r="F21" s="9" t="n">
        <f aca="false">IF(OR(D21="",E21=""),1,MAX(1,DATEVALUE(E21)-DATEVALUE(D21)))</f>
        <v>3</v>
      </c>
      <c r="G21" s="11" t="n">
        <v>28506</v>
      </c>
      <c r="H21" s="11" t="n">
        <v>38520</v>
      </c>
      <c r="I21" s="11"/>
      <c r="J21" s="11"/>
      <c r="K21" s="11"/>
      <c r="L21" s="12" t="n">
        <v>305.28</v>
      </c>
      <c r="M21" s="13" t="n">
        <v>0.12</v>
      </c>
      <c r="N21" s="14" t="n">
        <f aca="false">IF(G21="","",G21/F21)</f>
        <v>9502</v>
      </c>
      <c r="O21" s="14" t="n">
        <f aca="false">IF(COUNT(H21:K21)=0,"",MIN(H21:K21)/F21)</f>
        <v>12840</v>
      </c>
      <c r="P21" s="14" t="n">
        <f aca="false">IF(L21="","",L21*95/F21)</f>
        <v>9667.2</v>
      </c>
      <c r="Q21" s="15" t="n">
        <f aca="false">IF(OR(N21="",O21=""),"",(IF(AND(N21&gt;7500,O21&gt;7500),O21/(1+IF(O21&lt;=1000,0,IF(O21&lt;=7500,0.05,0.18)))-IF(AND(N21&gt;7500,O21&gt;7500),N21/1.18,N21),(O21-IF(AND(N21&gt;7500,O21&gt;7500),N21/1.18,N21))/(1+IF(O21&lt;=1000,0,IF(O21&lt;=7500,0.05,0.18)))))/(IF(AND(N21&gt;7500,O21&gt;7500),N21/1.18,N21)))</f>
        <v>0.3512944643233</v>
      </c>
      <c r="R21" s="15" t="n">
        <f aca="false">IF(OR(N21="",O21=""),"",((O21-N21)/1.18)/N21)</f>
        <v>0.297707173155339</v>
      </c>
      <c r="S21" s="15" t="n">
        <f aca="false">IF(OR(P21="",O21=""),"",(P21-O21)/O21)</f>
        <v>-0.247102803738318</v>
      </c>
      <c r="T21" s="9" t="str">
        <f aca="false">IF(AND(D21="",G21&lt;&gt;""),"no dates - assumed 1 night",IF(Q21="","",IF(Q21&gt;1.5,"check: markup &gt;150%",IF(Q21&lt;0,"below cost",""))))</f>
        <v/>
      </c>
    </row>
    <row r="22" customFormat="false" ht="15" hidden="false" customHeight="false" outlineLevel="0" collapsed="false">
      <c r="A22" s="9" t="s">
        <v>14</v>
      </c>
      <c r="B22" s="9" t="s">
        <v>201</v>
      </c>
      <c r="C22" s="9" t="s">
        <v>41</v>
      </c>
      <c r="D22" s="10" t="s">
        <v>42</v>
      </c>
      <c r="E22" s="10" t="s">
        <v>43</v>
      </c>
      <c r="F22" s="9" t="n">
        <f aca="false">IF(OR(D22="",E22=""),1,MAX(1,DATEVALUE(E22)-DATEVALUE(D22)))</f>
        <v>3</v>
      </c>
      <c r="G22" s="11" t="n">
        <v>42137</v>
      </c>
      <c r="H22" s="11" t="n">
        <v>50150</v>
      </c>
      <c r="I22" s="11"/>
      <c r="J22" s="11"/>
      <c r="K22" s="11"/>
      <c r="L22" s="12" t="n">
        <v>524.13</v>
      </c>
      <c r="M22" s="13" t="n">
        <v>0.12</v>
      </c>
      <c r="N22" s="14" t="n">
        <f aca="false">IF(G22="","",G22/F22)</f>
        <v>14045.6666666667</v>
      </c>
      <c r="O22" s="14" t="n">
        <f aca="false">IF(COUNT(H22:K22)=0,"",MIN(H22:K22)/F22)</f>
        <v>16716.6666666667</v>
      </c>
      <c r="P22" s="14" t="n">
        <f aca="false">IF(L22="","",L22*95/F22)</f>
        <v>16597.45</v>
      </c>
      <c r="Q22" s="15" t="n">
        <f aca="false">IF(OR(N22="",O22=""),"",(IF(AND(N22&gt;7500,O22&gt;7500),O22/(1+IF(O22&lt;=1000,0,IF(O22&lt;=7500,0.05,0.18)))-IF(AND(N22&gt;7500,O22&gt;7500),N22/1.18,N22),(O22-IF(AND(N22&gt;7500,O22&gt;7500),N22/1.18,N22))/(1+IF(O22&lt;=1000,0,IF(O22&lt;=7500,0.05,0.18)))))/(IF(AND(N22&gt;7500,O22&gt;7500),N22/1.18,N22)))</f>
        <v>0.190165412820087</v>
      </c>
      <c r="R22" s="15" t="n">
        <f aca="false">IF(OR(N22="",O22=""),"",((O22-N22)/1.18)/N22)</f>
        <v>0.161157129508548</v>
      </c>
      <c r="S22" s="15" t="n">
        <f aca="false">IF(OR(P22="",O22=""),"",(P22-O22)/O22)</f>
        <v>-0.00713160518444669</v>
      </c>
      <c r="T22" s="9" t="str">
        <f aca="false">IF(AND(D22="",G22&lt;&gt;""),"no dates - assumed 1 night",IF(Q22="","",IF(Q22&gt;1.5,"check: markup &gt;150%",IF(Q22&lt;0,"below cost",""))))</f>
        <v/>
      </c>
    </row>
    <row r="23" customFormat="false" ht="15" hidden="false" customHeight="false" outlineLevel="0" collapsed="false">
      <c r="A23" s="9" t="s">
        <v>14</v>
      </c>
      <c r="B23" s="9" t="s">
        <v>201</v>
      </c>
      <c r="C23" s="9" t="s">
        <v>44</v>
      </c>
      <c r="D23" s="10" t="s">
        <v>202</v>
      </c>
      <c r="E23" s="10" t="s">
        <v>203</v>
      </c>
      <c r="F23" s="9" t="n">
        <f aca="false">IF(OR(D23="",E23=""),1,MAX(1,DATEVALUE(E23)-DATEVALUE(D23)))</f>
        <v>3</v>
      </c>
      <c r="G23" s="11" t="n">
        <v>34248</v>
      </c>
      <c r="H23" s="11" t="n">
        <v>44250</v>
      </c>
      <c r="I23" s="11"/>
      <c r="J23" s="11"/>
      <c r="K23" s="11"/>
      <c r="L23" s="12" t="n">
        <v>462.45</v>
      </c>
      <c r="M23" s="13" t="n">
        <v>0.12</v>
      </c>
      <c r="N23" s="14" t="n">
        <f aca="false">IF(G23="","",G23/F23)</f>
        <v>11416</v>
      </c>
      <c r="O23" s="14" t="n">
        <f aca="false">IF(COUNT(H23:K23)=0,"",MIN(H23:K23)/F23)</f>
        <v>14750</v>
      </c>
      <c r="P23" s="14" t="n">
        <f aca="false">IF(L23="","",L23*95/F23)</f>
        <v>14644.25</v>
      </c>
      <c r="Q23" s="15" t="n">
        <f aca="false">IF(OR(N23="",O23=""),"",(IF(AND(N23&gt;7500,O23&gt;7500),O23/(1+IF(O23&lt;=1000,0,IF(O23&lt;=7500,0.05,0.18)))-IF(AND(N23&gt;7500,O23&gt;7500),N23/1.18,N23),(O23-IF(AND(N23&gt;7500,O23&gt;7500),N23/1.18,N23))/(1+IF(O23&lt;=1000,0,IF(O23&lt;=7500,0.05,0.18)))))/(IF(AND(N23&gt;7500,O23&gt;7500),N23/1.18,N23)))</f>
        <v>0.292046250875964</v>
      </c>
      <c r="R23" s="15" t="n">
        <f aca="false">IF(OR(N23="",O23=""),"",((O23-N23)/1.18)/N23)</f>
        <v>0.24749682277624</v>
      </c>
      <c r="S23" s="15" t="n">
        <f aca="false">IF(OR(P23="",O23=""),"",(P23-O23)/O23)</f>
        <v>-0.00716949152542373</v>
      </c>
      <c r="T23" s="9" t="str">
        <f aca="false">IF(AND(D23="",G23&lt;&gt;""),"no dates - assumed 1 night",IF(Q23="","",IF(Q23&gt;1.5,"check: markup &gt;150%",IF(Q23&lt;0,"below cost",""))))</f>
        <v/>
      </c>
    </row>
    <row r="24" customFormat="false" ht="15" hidden="false" customHeight="false" outlineLevel="0" collapsed="false">
      <c r="A24" s="9" t="s">
        <v>14</v>
      </c>
      <c r="B24" s="9" t="s">
        <v>201</v>
      </c>
      <c r="C24" s="9" t="s">
        <v>47</v>
      </c>
      <c r="D24" s="10" t="s">
        <v>48</v>
      </c>
      <c r="E24" s="10" t="s">
        <v>49</v>
      </c>
      <c r="F24" s="9" t="n">
        <f aca="false">IF(OR(D24="",E24=""),1,MAX(1,DATEVALUE(E24)-DATEVALUE(D24)))</f>
        <v>3</v>
      </c>
      <c r="G24" s="11" t="n">
        <v>49236</v>
      </c>
      <c r="H24" s="11" t="n">
        <v>63720</v>
      </c>
      <c r="I24" s="11"/>
      <c r="J24" s="11"/>
      <c r="K24" s="11"/>
      <c r="L24" s="12" t="n">
        <v>665.94</v>
      </c>
      <c r="M24" s="13" t="n">
        <v>0.12</v>
      </c>
      <c r="N24" s="14" t="n">
        <f aca="false">IF(G24="","",G24/F24)</f>
        <v>16412</v>
      </c>
      <c r="O24" s="14" t="n">
        <f aca="false">IF(COUNT(H24:K24)=0,"",MIN(H24:K24)/F24)</f>
        <v>21240</v>
      </c>
      <c r="P24" s="14" t="n">
        <f aca="false">IF(L24="","",L24*95/F24)</f>
        <v>21088.1</v>
      </c>
      <c r="Q24" s="15" t="n">
        <f aca="false">IF(OR(N24="",O24=""),"",(IF(AND(N24&gt;7500,O24&gt;7500),O24/(1+IF(O24&lt;=1000,0,IF(O24&lt;=7500,0.05,0.18)))-IF(AND(N24&gt;7500,O24&gt;7500),N24/1.18,N24),(O24-IF(AND(N24&gt;7500,O24&gt;7500),N24/1.18,N24))/(1+IF(O24&lt;=1000,0,IF(O24&lt;=7500,0.05,0.18)))))/(IF(AND(N24&gt;7500,O24&gt;7500),N24/1.18,N24)))</f>
        <v>0.294174993906897</v>
      </c>
      <c r="R24" s="15" t="n">
        <f aca="false">IF(OR(N24="",O24=""),"",((O24-N24)/1.18)/N24)</f>
        <v>0.249300842293981</v>
      </c>
      <c r="S24" s="15" t="n">
        <f aca="false">IF(OR(P24="",O24=""),"",(P24-O24)/O24)</f>
        <v>-0.00715160075329557</v>
      </c>
      <c r="T24" s="9" t="str">
        <f aca="false">IF(AND(D24="",G24&lt;&gt;""),"no dates - assumed 1 night",IF(Q24="","",IF(Q24&gt;1.5,"check: markup &gt;150%",IF(Q24&lt;0,"below cost",""))))</f>
        <v/>
      </c>
    </row>
    <row r="25" customFormat="false" ht="15" hidden="false" customHeight="false" outlineLevel="0" collapsed="false">
      <c r="A25" s="9" t="s">
        <v>14</v>
      </c>
      <c r="B25" s="9" t="s">
        <v>201</v>
      </c>
      <c r="C25" s="9" t="s">
        <v>50</v>
      </c>
      <c r="D25" s="10" t="s">
        <v>51</v>
      </c>
      <c r="E25" s="10" t="s">
        <v>52</v>
      </c>
      <c r="F25" s="9" t="n">
        <f aca="false">IF(OR(D25="",E25=""),1,MAX(1,DATEVALUE(E25)-DATEVALUE(D25)))</f>
        <v>3</v>
      </c>
      <c r="G25" s="11" t="n">
        <v>107842</v>
      </c>
      <c r="H25" s="11" t="n">
        <v>141600</v>
      </c>
      <c r="I25" s="11"/>
      <c r="J25" s="11"/>
      <c r="K25" s="11"/>
      <c r="L25" s="12" t="n">
        <v>1647.09</v>
      </c>
      <c r="M25" s="13" t="n">
        <v>0.12</v>
      </c>
      <c r="N25" s="14" t="n">
        <f aca="false">IF(G25="","",G25/F25)</f>
        <v>35947.3333333333</v>
      </c>
      <c r="O25" s="14" t="n">
        <f aca="false">IF(COUNT(H25:K25)=0,"",MIN(H25:K25)/F25)</f>
        <v>47200</v>
      </c>
      <c r="P25" s="14" t="n">
        <f aca="false">IF(L25="","",L25*95/F25)</f>
        <v>52157.85</v>
      </c>
      <c r="Q25" s="15" t="n">
        <f aca="false">IF(OR(N25="",O25=""),"",(IF(AND(N25&gt;7500,O25&gt;7500),O25/(1+IF(O25&lt;=1000,0,IF(O25&lt;=7500,0.05,0.18)))-IF(AND(N25&gt;7500,O25&gt;7500),N25/1.18,N25),(O25-IF(AND(N25&gt;7500,O25&gt;7500),N25/1.18,N25))/(1+IF(O25&lt;=1000,0,IF(O25&lt;=7500,0.05,0.18)))))/(IF(AND(N25&gt;7500,O25&gt;7500),N25/1.18,N25)))</f>
        <v>0.313032028337753</v>
      </c>
      <c r="R25" s="15" t="n">
        <f aca="false">IF(OR(N25="",O25=""),"",((O25-N25)/1.18)/N25)</f>
        <v>0.265281379947249</v>
      </c>
      <c r="S25" s="15" t="n">
        <f aca="false">IF(OR(P25="",O25=""),"",(P25-O25)/O25)</f>
        <v>0.105039194915254</v>
      </c>
      <c r="T25" s="9" t="str">
        <f aca="false">IF(AND(D25="",G25&lt;&gt;""),"no dates - assumed 1 night",IF(Q25="","",IF(Q25&gt;1.5,"check: markup &gt;150%",IF(Q25&lt;0,"below cost",""))))</f>
        <v/>
      </c>
    </row>
    <row r="26" customFormat="false" ht="15" hidden="false" customHeight="false" outlineLevel="0" collapsed="false">
      <c r="A26" s="9" t="s">
        <v>14</v>
      </c>
      <c r="B26" s="9" t="s">
        <v>201</v>
      </c>
      <c r="C26" s="9" t="s">
        <v>54</v>
      </c>
      <c r="D26" s="10" t="s">
        <v>55</v>
      </c>
      <c r="E26" s="10" t="s">
        <v>56</v>
      </c>
      <c r="F26" s="9" t="n">
        <f aca="false">IF(OR(D26="",E26=""),1,MAX(1,DATEVALUE(E26)-DATEVALUE(D26)))</f>
        <v>3</v>
      </c>
      <c r="G26" s="11" t="n">
        <v>45338</v>
      </c>
      <c r="H26" s="11" t="n">
        <v>63720</v>
      </c>
      <c r="I26" s="11"/>
      <c r="J26" s="11"/>
      <c r="K26" s="11"/>
      <c r="L26" s="12" t="n">
        <v>566.04</v>
      </c>
      <c r="M26" s="13" t="n">
        <v>0.12</v>
      </c>
      <c r="N26" s="14" t="n">
        <f aca="false">IF(G26="","",G26/F26)</f>
        <v>15112.6666666667</v>
      </c>
      <c r="O26" s="14" t="n">
        <f aca="false">IF(COUNT(H26:K26)=0,"",MIN(H26:K26)/F26)</f>
        <v>21240</v>
      </c>
      <c r="P26" s="14" t="n">
        <f aca="false">IF(L26="","",L26*95/F26)</f>
        <v>17924.6</v>
      </c>
      <c r="Q26" s="15" t="n">
        <f aca="false">IF(OR(N26="",O26=""),"",(IF(AND(N26&gt;7500,O26&gt;7500),O26/(1+IF(O26&lt;=1000,0,IF(O26&lt;=7500,0.05,0.18)))-IF(AND(N26&gt;7500,O26&gt;7500),N26/1.18,N26),(O26-IF(AND(N26&gt;7500,O26&gt;7500),N26/1.18,N26))/(1+IF(O26&lt;=1000,0,IF(O26&lt;=7500,0.05,0.18)))))/(IF(AND(N26&gt;7500,O26&gt;7500),N26/1.18,N26)))</f>
        <v>0.405443557280868</v>
      </c>
      <c r="R26" s="15" t="n">
        <f aca="false">IF(OR(N26="",O26=""),"",((O26-N26)/1.18)/N26)</f>
        <v>0.343596234983787</v>
      </c>
      <c r="S26" s="15" t="n">
        <f aca="false">IF(OR(P26="",O26=""),"",(P26-O26)/O26)</f>
        <v>-0.156092278719397</v>
      </c>
      <c r="T26" s="9" t="str">
        <f aca="false">IF(AND(D26="",G26&lt;&gt;""),"no dates - assumed 1 night",IF(Q26="","",IF(Q26&gt;1.5,"check: markup &gt;150%",IF(Q26&lt;0,"below cost",""))))</f>
        <v/>
      </c>
    </row>
    <row r="27" customFormat="false" ht="15" hidden="false" customHeight="false" outlineLevel="0" collapsed="false">
      <c r="A27" s="9" t="s">
        <v>14</v>
      </c>
      <c r="B27" s="9" t="s">
        <v>204</v>
      </c>
      <c r="C27" s="9" t="s">
        <v>41</v>
      </c>
      <c r="D27" s="10" t="s">
        <v>42</v>
      </c>
      <c r="E27" s="10" t="s">
        <v>43</v>
      </c>
      <c r="F27" s="9" t="n">
        <f aca="false">IF(OR(D27="",E27=""),1,MAX(1,DATEVALUE(E27)-DATEVALUE(D27)))</f>
        <v>3</v>
      </c>
      <c r="G27" s="11" t="n">
        <v>12995</v>
      </c>
      <c r="H27" s="11" t="n">
        <v>13983</v>
      </c>
      <c r="I27" s="11"/>
      <c r="J27" s="11"/>
      <c r="K27" s="11"/>
      <c r="L27" s="12" t="n">
        <v>146.17</v>
      </c>
      <c r="M27" s="13" t="n">
        <v>0.12</v>
      </c>
      <c r="N27" s="14" t="n">
        <f aca="false">IF(G27="","",G27/F27)</f>
        <v>4331.66666666667</v>
      </c>
      <c r="O27" s="14" t="n">
        <f aca="false">IF(COUNT(H27:K27)=0,"",MIN(H27:K27)/F27)</f>
        <v>4661</v>
      </c>
      <c r="P27" s="14" t="n">
        <f aca="false">IF(L27="","",L27*95/F27)</f>
        <v>4628.71666666667</v>
      </c>
      <c r="Q27" s="15" t="n">
        <f aca="false">IF(OR(N27="",O27=""),"",(IF(AND(N27&gt;7500,O27&gt;7500),O27/(1+IF(O27&lt;=1000,0,IF(O27&lt;=7500,0.05,0.18)))-IF(AND(N27&gt;7500,O27&gt;7500),N27/1.18,N27),(O27-IF(AND(N27&gt;7500,O27&gt;7500),N27/1.18,N27))/(1+IF(O27&lt;=1000,0,IF(O27&lt;=7500,0.05,0.18)))))/(IF(AND(N27&gt;7500,O27&gt;7500),N27/1.18,N27)))</f>
        <v>0.0724088019201524</v>
      </c>
      <c r="R27" s="15" t="n">
        <f aca="false">IF(OR(N27="",O27=""),"",((O27-N27)/1.18)/N27)</f>
        <v>0.0644315610306441</v>
      </c>
      <c r="S27" s="15" t="n">
        <f aca="false">IF(OR(P27="",O27=""),"",(P27-O27)/O27)</f>
        <v>-0.00692626761067019</v>
      </c>
      <c r="T27" s="9" t="str">
        <f aca="false">IF(AND(D27="",G27&lt;&gt;""),"no dates - assumed 1 night",IF(Q27="","",IF(Q27&gt;1.5,"check: markup &gt;150%",IF(Q27&lt;0,"below cost",""))))</f>
        <v/>
      </c>
    </row>
    <row r="28" customFormat="false" ht="15" hidden="false" customHeight="false" outlineLevel="0" collapsed="false">
      <c r="A28" s="9" t="s">
        <v>14</v>
      </c>
      <c r="B28" s="9" t="s">
        <v>204</v>
      </c>
      <c r="C28" s="9" t="s">
        <v>44</v>
      </c>
      <c r="D28" s="10" t="s">
        <v>45</v>
      </c>
      <c r="E28" s="10" t="s">
        <v>46</v>
      </c>
      <c r="F28" s="9" t="n">
        <f aca="false">IF(OR(D28="",E28=""),1,MAX(1,DATEVALUE(E28)-DATEVALUE(D28)))</f>
        <v>3</v>
      </c>
      <c r="G28" s="11"/>
      <c r="H28" s="11" t="n">
        <v>12660</v>
      </c>
      <c r="I28" s="11"/>
      <c r="J28" s="11"/>
      <c r="K28" s="11"/>
      <c r="L28" s="12" t="n">
        <v>132.31</v>
      </c>
      <c r="M28" s="13" t="n">
        <v>0.12</v>
      </c>
      <c r="N28" s="14" t="str">
        <f aca="false">IF(G28="","",G28/F28)</f>
        <v/>
      </c>
      <c r="O28" s="14" t="n">
        <f aca="false">IF(COUNT(H28:K28)=0,"",MIN(H28:K28)/F28)</f>
        <v>4220</v>
      </c>
      <c r="P28" s="14" t="n">
        <f aca="false">IF(L28="","",L28*95/F28)</f>
        <v>4189.81666666667</v>
      </c>
      <c r="Q28" s="15" t="str">
        <f aca="false">IF(OR(N28="",O28=""),"",(IF(AND(N28&gt;7500,O28&gt;7500),O28/(1+IF(O28&lt;=1000,0,IF(O28&lt;=7500,0.05,0.18)))-IF(AND(N28&gt;7500,O28&gt;7500),N28/1.18,N28),(O28-IF(AND(N28&gt;7500,O28&gt;7500),N28/1.18,N28))/(1+IF(O28&lt;=1000,0,IF(O28&lt;=7500,0.05,0.18)))))/(IF(AND(N28&gt;7500,O28&gt;7500),N28/1.18,N28)))</f>
        <v/>
      </c>
      <c r="R28" s="15" t="str">
        <f aca="false">IF(OR(N28="",O28=""),"",((O28-N28)/1.18)/N28)</f>
        <v/>
      </c>
      <c r="S28" s="15" t="n">
        <f aca="false">IF(OR(P28="",O28=""),"",(P28-O28)/O28)</f>
        <v>-0.00715244865718801</v>
      </c>
      <c r="T28" s="9" t="str">
        <f aca="false">IF(AND(D28="",G28&lt;&gt;""),"no dates - assumed 1 night",IF(Q28="","",IF(Q28&gt;1.5,"check: markup &gt;150%",IF(Q28&lt;0,"below cost",""))))</f>
        <v/>
      </c>
    </row>
    <row r="29" customFormat="false" ht="15" hidden="false" customHeight="false" outlineLevel="0" collapsed="false">
      <c r="A29" s="9" t="s">
        <v>14</v>
      </c>
      <c r="B29" s="9" t="s">
        <v>204</v>
      </c>
      <c r="C29" s="9" t="s">
        <v>47</v>
      </c>
      <c r="D29" s="10" t="s">
        <v>48</v>
      </c>
      <c r="E29" s="10" t="s">
        <v>49</v>
      </c>
      <c r="F29" s="9" t="n">
        <f aca="false">IF(OR(D29="",E29=""),1,MAX(1,DATEVALUE(E29)-DATEVALUE(D29)))</f>
        <v>3</v>
      </c>
      <c r="G29" s="11" t="n">
        <v>12468</v>
      </c>
      <c r="H29" s="11" t="n">
        <v>13416</v>
      </c>
      <c r="I29" s="11"/>
      <c r="J29" s="11"/>
      <c r="K29" s="11"/>
      <c r="L29" s="12" t="n">
        <v>140.26</v>
      </c>
      <c r="M29" s="13" t="n">
        <v>0.12</v>
      </c>
      <c r="N29" s="14" t="n">
        <f aca="false">IF(G29="","",G29/F29)</f>
        <v>4156</v>
      </c>
      <c r="O29" s="14" t="n">
        <f aca="false">IF(COUNT(H29:K29)=0,"",MIN(H29:K29)/F29)</f>
        <v>4472</v>
      </c>
      <c r="P29" s="14" t="n">
        <f aca="false">IF(L29="","",L29*95/F29)</f>
        <v>4441.56666666667</v>
      </c>
      <c r="Q29" s="15" t="n">
        <f aca="false">IF(OR(N29="",O29=""),"",(IF(AND(N29&gt;7500,O29&gt;7500),O29/(1+IF(O29&lt;=1000,0,IF(O29&lt;=7500,0.05,0.18)))-IF(AND(N29&gt;7500,O29&gt;7500),N29/1.18,N29),(O29-IF(AND(N29&gt;7500,O29&gt;7500),N29/1.18,N29))/(1+IF(O29&lt;=1000,0,IF(O29&lt;=7500,0.05,0.18)))))/(IF(AND(N29&gt;7500,O29&gt;7500),N29/1.18,N29)))</f>
        <v>0.0724139511434988</v>
      </c>
      <c r="R29" s="15" t="n">
        <f aca="false">IF(OR(N29="",O29=""),"",((O29-N29)/1.18)/N29)</f>
        <v>0.0644361429666727</v>
      </c>
      <c r="S29" s="15" t="n">
        <f aca="false">IF(OR(P29="",O29=""),"",(P29-O29)/O29)</f>
        <v>-0.00680530709600478</v>
      </c>
      <c r="T29" s="9" t="str">
        <f aca="false">IF(AND(D29="",G29&lt;&gt;""),"no dates - assumed 1 night",IF(Q29="","",IF(Q29&gt;1.5,"check: markup &gt;150%",IF(Q29&lt;0,"below cost",""))))</f>
        <v/>
      </c>
    </row>
    <row r="30" customFormat="false" ht="15" hidden="false" customHeight="false" outlineLevel="0" collapsed="false">
      <c r="A30" s="9" t="s">
        <v>14</v>
      </c>
      <c r="B30" s="9" t="s">
        <v>204</v>
      </c>
      <c r="C30" s="9" t="s">
        <v>50</v>
      </c>
      <c r="D30" s="10" t="s">
        <v>200</v>
      </c>
      <c r="E30" s="10" t="s">
        <v>130</v>
      </c>
      <c r="F30" s="9" t="n">
        <f aca="false">IF(OR(D30="",E30=""),1,MAX(1,DATEVALUE(E30)-DATEVALUE(D30)))</f>
        <v>5</v>
      </c>
      <c r="G30" s="11" t="n">
        <v>37494</v>
      </c>
      <c r="H30" s="11" t="n">
        <v>40180</v>
      </c>
      <c r="I30" s="11"/>
      <c r="J30" s="11"/>
      <c r="K30" s="11"/>
      <c r="L30" s="12" t="n">
        <v>420.09</v>
      </c>
      <c r="M30" s="13" t="n">
        <v>0.12</v>
      </c>
      <c r="N30" s="14" t="n">
        <f aca="false">IF(G30="","",G30/F30)</f>
        <v>7498.8</v>
      </c>
      <c r="O30" s="14" t="n">
        <f aca="false">IF(COUNT(H30:K30)=0,"",MIN(H30:K30)/F30)</f>
        <v>8036</v>
      </c>
      <c r="P30" s="14" t="n">
        <f aca="false">IF(L30="","",L30*95/F30)</f>
        <v>7981.71</v>
      </c>
      <c r="Q30" s="15" t="n">
        <f aca="false">IF(OR(N30="",O30=""),"",(IF(AND(N30&gt;7500,O30&gt;7500),O30/(1+IF(O30&lt;=1000,0,IF(O30&lt;=7500,0.05,0.18)))-IF(AND(N30&gt;7500,O30&gt;7500),N30/1.18,N30),(O30-IF(AND(N30&gt;7500,O30&gt;7500),N30/1.18,N30))/(1+IF(O30&lt;=1000,0,IF(O30&lt;=7500,0.05,0.18)))))/(IF(AND(N30&gt;7500,O30&gt;7500),N30/1.18,N30)))</f>
        <v>0.06071027861633</v>
      </c>
      <c r="R30" s="15" t="n">
        <f aca="false">IF(OR(N30="",O30=""),"",((O30-N30)/1.18)/N30)</f>
        <v>0.06071027861633</v>
      </c>
      <c r="S30" s="15" t="n">
        <f aca="false">IF(OR(P30="",O30=""),"",(P30-O30)/O30)</f>
        <v>-0.0067558486809359</v>
      </c>
      <c r="T30" s="9" t="str">
        <f aca="false">IF(AND(D30="",G30&lt;&gt;""),"no dates - assumed 1 night",IF(Q30="","",IF(Q30&gt;1.5,"check: markup &gt;150%",IF(Q30&lt;0,"below cost",""))))</f>
        <v/>
      </c>
    </row>
    <row r="31" customFormat="false" ht="15" hidden="false" customHeight="false" outlineLevel="0" collapsed="false">
      <c r="A31" s="9" t="s">
        <v>14</v>
      </c>
      <c r="B31" s="9" t="s">
        <v>204</v>
      </c>
      <c r="C31" s="9" t="s">
        <v>54</v>
      </c>
      <c r="D31" s="10" t="s">
        <v>55</v>
      </c>
      <c r="E31" s="10" t="s">
        <v>56</v>
      </c>
      <c r="F31" s="9" t="n">
        <f aca="false">IF(OR(D31="",E31=""),1,MAX(1,DATEVALUE(E31)-DATEVALUE(D31)))</f>
        <v>3</v>
      </c>
      <c r="G31" s="11" t="n">
        <v>11414</v>
      </c>
      <c r="H31" s="11" t="n">
        <v>12282</v>
      </c>
      <c r="I31" s="11"/>
      <c r="J31" s="11"/>
      <c r="K31" s="11"/>
      <c r="L31" s="12" t="n">
        <v>128.42</v>
      </c>
      <c r="M31" s="13" t="n">
        <v>0.12</v>
      </c>
      <c r="N31" s="14" t="n">
        <f aca="false">IF(G31="","",G31/F31)</f>
        <v>3804.66666666667</v>
      </c>
      <c r="O31" s="14" t="n">
        <f aca="false">IF(COUNT(H31:K31)=0,"",MIN(H31:K31)/F31)</f>
        <v>4094</v>
      </c>
      <c r="P31" s="14" t="n">
        <f aca="false">IF(L31="","",L31*95/F31)</f>
        <v>4066.63333333333</v>
      </c>
      <c r="Q31" s="15" t="n">
        <f aca="false">IF(OR(N31="",O31=""),"",(IF(AND(N31&gt;7500,O31&gt;7500),O31/(1+IF(O31&lt;=1000,0,IF(O31&lt;=7500,0.05,0.18)))-IF(AND(N31&gt;7500,O31&gt;7500),N31/1.18,N31),(O31-IF(AND(N31&gt;7500,O31&gt;7500),N31/1.18,N31))/(1+IF(O31&lt;=1000,0,IF(O31&lt;=7500,0.05,0.18)))))/(IF(AND(N31&gt;7500,O31&gt;7500),N31/1.18,N31)))</f>
        <v>0.072425676070323</v>
      </c>
      <c r="R31" s="15" t="n">
        <f aca="false">IF(OR(N31="",O31=""),"",((O31-N31)/1.18)/N31)</f>
        <v>0.0644465761642705</v>
      </c>
      <c r="S31" s="15" t="n">
        <f aca="false">IF(OR(P31="",O31=""),"",(P31-O31)/O31)</f>
        <v>-0.00668457905878524</v>
      </c>
      <c r="T31" s="9" t="str">
        <f aca="false">IF(AND(D31="",G31&lt;&gt;""),"no dates - assumed 1 night",IF(Q31="","",IF(Q31&gt;1.5,"check: markup &gt;150%",IF(Q31&lt;0,"below cost",""))))</f>
        <v/>
      </c>
    </row>
    <row r="32" customFormat="false" ht="15" hidden="false" customHeight="false" outlineLevel="0" collapsed="false">
      <c r="A32" s="9" t="s">
        <v>14</v>
      </c>
      <c r="B32" s="9" t="s">
        <v>205</v>
      </c>
      <c r="C32" s="9" t="s">
        <v>41</v>
      </c>
      <c r="D32" s="10" t="s">
        <v>42</v>
      </c>
      <c r="E32" s="10" t="s">
        <v>43</v>
      </c>
      <c r="F32" s="9" t="n">
        <f aca="false">IF(OR(D32="",E32=""),1,MAX(1,DATEVALUE(E32)-DATEVALUE(D32)))</f>
        <v>3</v>
      </c>
      <c r="G32" s="11" t="n">
        <v>37794</v>
      </c>
      <c r="H32" s="11" t="n">
        <v>24162</v>
      </c>
      <c r="I32" s="11"/>
      <c r="J32" s="11"/>
      <c r="K32" s="11"/>
      <c r="L32" s="12" t="n">
        <v>413.72</v>
      </c>
      <c r="M32" s="13" t="n">
        <v>0.12</v>
      </c>
      <c r="N32" s="14" t="n">
        <f aca="false">IF(G32="","",G32/F32)</f>
        <v>12598</v>
      </c>
      <c r="O32" s="14" t="n">
        <f aca="false">IF(COUNT(H32:K32)=0,"",MIN(H32:K32)/F32)</f>
        <v>8054</v>
      </c>
      <c r="P32" s="14" t="n">
        <f aca="false">IF(L32="","",L32*95/F32)</f>
        <v>13101.1333333333</v>
      </c>
      <c r="Q32" s="15" t="n">
        <f aca="false">IF(OR(N32="",O32=""),"",(IF(AND(N32&gt;7500,O32&gt;7500),O32/(1+IF(O32&lt;=1000,0,IF(O32&lt;=7500,0.05,0.18)))-IF(AND(N32&gt;7500,O32&gt;7500),N32/1.18,N32),(O32-IF(AND(N32&gt;7500,O32&gt;7500),N32/1.18,N32))/(1+IF(O32&lt;=1000,0,IF(O32&lt;=7500,0.05,0.18)))))/(IF(AND(N32&gt;7500,O32&gt;7500),N32/1.18,N32)))</f>
        <v>-0.360692173360851</v>
      </c>
      <c r="R32" s="15" t="n">
        <f aca="false">IF(OR(N32="",O32=""),"",((O32-N32)/1.18)/N32)</f>
        <v>-0.305671333356653</v>
      </c>
      <c r="S32" s="15" t="n">
        <f aca="false">IF(OR(P32="",O32=""),"",(P32-O32)/O32)</f>
        <v>0.626661700190382</v>
      </c>
      <c r="T32" s="9" t="str">
        <f aca="false">IF(AND(D32="",G32&lt;&gt;""),"no dates - assumed 1 night",IF(Q32="","",IF(Q32&gt;1.5,"check: markup &gt;150%",IF(Q32&lt;0,"below cost",""))))</f>
        <v>below cost</v>
      </c>
    </row>
    <row r="33" customFormat="false" ht="15" hidden="false" customHeight="false" outlineLevel="0" collapsed="false">
      <c r="A33" s="9" t="s">
        <v>14</v>
      </c>
      <c r="B33" s="9" t="s">
        <v>205</v>
      </c>
      <c r="C33" s="9" t="s">
        <v>44</v>
      </c>
      <c r="D33" s="10" t="s">
        <v>45</v>
      </c>
      <c r="E33" s="10" t="s">
        <v>46</v>
      </c>
      <c r="F33" s="9" t="n">
        <f aca="false">IF(OR(D33="",E33=""),1,MAX(1,DATEVALUE(E33)-DATEVALUE(D33)))</f>
        <v>3</v>
      </c>
      <c r="G33" s="11" t="n">
        <v>31495</v>
      </c>
      <c r="H33" s="11" t="n">
        <v>26904</v>
      </c>
      <c r="I33" s="11"/>
      <c r="J33" s="11"/>
      <c r="K33" s="11"/>
      <c r="L33" s="12" t="n">
        <v>344.76</v>
      </c>
      <c r="M33" s="13" t="n">
        <v>0.12</v>
      </c>
      <c r="N33" s="14" t="n">
        <f aca="false">IF(G33="","",G33/F33)</f>
        <v>10498.3333333333</v>
      </c>
      <c r="O33" s="14" t="n">
        <f aca="false">IF(COUNT(H33:K33)=0,"",MIN(H33:K33)/F33)</f>
        <v>8968</v>
      </c>
      <c r="P33" s="14" t="n">
        <f aca="false">IF(L33="","",L33*95/F33)</f>
        <v>10917.4</v>
      </c>
      <c r="Q33" s="15" t="n">
        <f aca="false">IF(OR(N33="",O33=""),"",(IF(AND(N33&gt;7500,O33&gt;7500),O33/(1+IF(O33&lt;=1000,0,IF(O33&lt;=7500,0.05,0.18)))-IF(AND(N33&gt;7500,O33&gt;7500),N33/1.18,N33),(O33-IF(AND(N33&gt;7500,O33&gt;7500),N33/1.18,N33))/(1+IF(O33&lt;=1000,0,IF(O33&lt;=7500,0.05,0.18)))))/(IF(AND(N33&gt;7500,O33&gt;7500),N33/1.18,N33)))</f>
        <v>-0.145769169709478</v>
      </c>
      <c r="R33" s="15" t="n">
        <f aca="false">IF(OR(N33="",O33=""),"",((O33-N33)/1.18)/N33)</f>
        <v>-0.123533194669049</v>
      </c>
      <c r="S33" s="15" t="n">
        <f aca="false">IF(OR(P33="",O33=""),"",(P33-O33)/O33)</f>
        <v>0.217372881355932</v>
      </c>
      <c r="T33" s="9" t="str">
        <f aca="false">IF(AND(D33="",G33&lt;&gt;""),"no dates - assumed 1 night",IF(Q33="","",IF(Q33&gt;1.5,"check: markup &gt;150%",IF(Q33&lt;0,"below cost",""))))</f>
        <v>below cost</v>
      </c>
    </row>
    <row r="34" customFormat="false" ht="15" hidden="false" customHeight="false" outlineLevel="0" collapsed="false">
      <c r="A34" s="9" t="s">
        <v>14</v>
      </c>
      <c r="B34" s="9" t="s">
        <v>205</v>
      </c>
      <c r="C34" s="9" t="s">
        <v>47</v>
      </c>
      <c r="D34" s="10" t="s">
        <v>48</v>
      </c>
      <c r="E34" s="10" t="s">
        <v>49</v>
      </c>
      <c r="F34" s="9" t="n">
        <f aca="false">IF(OR(D34="",E34=""),1,MAX(1,DATEVALUE(E34)-DATEVALUE(D34)))</f>
        <v>3</v>
      </c>
      <c r="G34" s="11" t="n">
        <v>26904</v>
      </c>
      <c r="H34" s="11" t="n">
        <v>26904</v>
      </c>
      <c r="I34" s="11"/>
      <c r="J34" s="11"/>
      <c r="K34" s="11"/>
      <c r="L34" s="12" t="n">
        <v>344.76</v>
      </c>
      <c r="M34" s="13" t="n">
        <v>0.12</v>
      </c>
      <c r="N34" s="14" t="n">
        <f aca="false">IF(G34="","",G34/F34)</f>
        <v>8968</v>
      </c>
      <c r="O34" s="14" t="n">
        <f aca="false">IF(COUNT(H34:K34)=0,"",MIN(H34:K34)/F34)</f>
        <v>8968</v>
      </c>
      <c r="P34" s="14" t="n">
        <f aca="false">IF(L34="","",L34*95/F34)</f>
        <v>10917.4</v>
      </c>
      <c r="Q34" s="15" t="n">
        <f aca="false">IF(OR(N34="",O34=""),"",(IF(AND(N34&gt;7500,O34&gt;7500),O34/(1+IF(O34&lt;=1000,0,IF(O34&lt;=7500,0.05,0.18)))-IF(AND(N34&gt;7500,O34&gt;7500),N34/1.18,N34),(O34-IF(AND(N34&gt;7500,O34&gt;7500),N34/1.18,N34))/(1+IF(O34&lt;=1000,0,IF(O34&lt;=7500,0.05,0.18)))))/(IF(AND(N34&gt;7500,O34&gt;7500),N34/1.18,N34)))</f>
        <v>0</v>
      </c>
      <c r="R34" s="15" t="n">
        <f aca="false">IF(OR(N34="",O34=""),"",((O34-N34)/1.18)/N34)</f>
        <v>0</v>
      </c>
      <c r="S34" s="15" t="n">
        <f aca="false">IF(OR(P34="",O34=""),"",(P34-O34)/O34)</f>
        <v>0.217372881355932</v>
      </c>
      <c r="T34" s="9" t="str">
        <f aca="false">IF(AND(D34="",G34&lt;&gt;""),"no dates - assumed 1 night",IF(Q34="","",IF(Q34&gt;1.5,"check: markup &gt;150%",IF(Q34&lt;0,"below cost",""))))</f>
        <v/>
      </c>
    </row>
    <row r="35" customFormat="false" ht="15" hidden="false" customHeight="false" outlineLevel="0" collapsed="false">
      <c r="A35" s="9" t="s">
        <v>14</v>
      </c>
      <c r="B35" s="9" t="s">
        <v>205</v>
      </c>
      <c r="C35" s="9" t="s">
        <v>50</v>
      </c>
      <c r="D35" s="10" t="s">
        <v>200</v>
      </c>
      <c r="E35" s="10" t="s">
        <v>130</v>
      </c>
      <c r="F35" s="9" t="n">
        <f aca="false">IF(OR(D35="",E35=""),1,MAX(1,DATEVALUE(E35)-DATEVALUE(D35)))</f>
        <v>5</v>
      </c>
      <c r="G35" s="11" t="n">
        <v>52493</v>
      </c>
      <c r="H35" s="11" t="n">
        <v>44840</v>
      </c>
      <c r="I35" s="11"/>
      <c r="J35" s="11"/>
      <c r="K35" s="11"/>
      <c r="L35" s="12" t="n">
        <v>574.6</v>
      </c>
      <c r="M35" s="13" t="n">
        <v>0.12</v>
      </c>
      <c r="N35" s="14" t="n">
        <f aca="false">IF(G35="","",G35/F35)</f>
        <v>10498.6</v>
      </c>
      <c r="O35" s="14" t="n">
        <f aca="false">IF(COUNT(H35:K35)=0,"",MIN(H35:K35)/F35)</f>
        <v>8968</v>
      </c>
      <c r="P35" s="14" t="n">
        <f aca="false">IF(L35="","",L35*95/F35)</f>
        <v>10917.4</v>
      </c>
      <c r="Q35" s="15" t="n">
        <f aca="false">IF(OR(N35="",O35=""),"",(IF(AND(N35&gt;7500,O35&gt;7500),O35/(1+IF(O35&lt;=1000,0,IF(O35&lt;=7500,0.05,0.18)))-IF(AND(N35&gt;7500,O35&gt;7500),N35/1.18,N35),(O35-IF(AND(N35&gt;7500,O35&gt;7500),N35/1.18,N35))/(1+IF(O35&lt;=1000,0,IF(O35&lt;=7500,0.05,0.18)))))/(IF(AND(N35&gt;7500,O35&gt;7500),N35/1.18,N35)))</f>
        <v>-0.145790867353743</v>
      </c>
      <c r="R35" s="15" t="n">
        <f aca="false">IF(OR(N35="",O35=""),"",((O35-N35)/1.18)/N35)</f>
        <v>-0.123551582503172</v>
      </c>
      <c r="S35" s="15" t="n">
        <f aca="false">IF(OR(P35="",O35=""),"",(P35-O35)/O35)</f>
        <v>0.217372881355932</v>
      </c>
      <c r="T35" s="9" t="str">
        <f aca="false">IF(AND(D35="",G35&lt;&gt;""),"no dates - assumed 1 night",IF(Q35="","",IF(Q35&gt;1.5,"check: markup &gt;150%",IF(Q35&lt;0,"below cost",""))))</f>
        <v>below cost</v>
      </c>
    </row>
    <row r="36" customFormat="false" ht="15" hidden="false" customHeight="false" outlineLevel="0" collapsed="false">
      <c r="A36" s="9" t="s">
        <v>14</v>
      </c>
      <c r="B36" s="9" t="s">
        <v>205</v>
      </c>
      <c r="C36" s="9" t="s">
        <v>54</v>
      </c>
      <c r="D36" s="10" t="s">
        <v>55</v>
      </c>
      <c r="E36" s="10" t="s">
        <v>56</v>
      </c>
      <c r="F36" s="9" t="n">
        <f aca="false">IF(OR(D36="",E36=""),1,MAX(1,DATEVALUE(E36)-DATEVALUE(D36)))</f>
        <v>3</v>
      </c>
      <c r="G36" s="11" t="n">
        <v>26501</v>
      </c>
      <c r="H36" s="11" t="n">
        <v>33630</v>
      </c>
      <c r="I36" s="11"/>
      <c r="J36" s="11"/>
      <c r="K36" s="11"/>
      <c r="L36" s="12" t="n">
        <v>344.76</v>
      </c>
      <c r="M36" s="13" t="n">
        <v>0.12</v>
      </c>
      <c r="N36" s="14" t="n">
        <f aca="false">IF(G36="","",G36/F36)</f>
        <v>8833.66666666667</v>
      </c>
      <c r="O36" s="14" t="n">
        <f aca="false">IF(COUNT(H36:K36)=0,"",MIN(H36:K36)/F36)</f>
        <v>11210</v>
      </c>
      <c r="P36" s="14" t="n">
        <f aca="false">IF(L36="","",L36*95/F36)</f>
        <v>10917.4</v>
      </c>
      <c r="Q36" s="15" t="n">
        <f aca="false">IF(OR(N36="",O36=""),"",(IF(AND(N36&gt;7500,O36&gt;7500),O36/(1+IF(O36&lt;=1000,0,IF(O36&lt;=7500,0.05,0.18)))-IF(AND(N36&gt;7500,O36&gt;7500),N36/1.18,N36),(O36-IF(AND(N36&gt;7500,O36&gt;7500),N36/1.18,N36))/(1+IF(O36&lt;=1000,0,IF(O36&lt;=7500,0.05,0.18)))))/(IF(AND(N36&gt;7500,O36&gt;7500),N36/1.18,N36)))</f>
        <v>0.269008716652202</v>
      </c>
      <c r="R36" s="15" t="n">
        <f aca="false">IF(OR(N36="",O36=""),"",((O36-N36)/1.18)/N36)</f>
        <v>0.227973488688307</v>
      </c>
      <c r="S36" s="15" t="n">
        <f aca="false">IF(OR(P36="",O36=""),"",(P36-O36)/O36)</f>
        <v>-0.0261016949152543</v>
      </c>
      <c r="T36" s="9" t="str">
        <f aca="false">IF(AND(D36="",G36&lt;&gt;""),"no dates - assumed 1 night",IF(Q36="","",IF(Q36&gt;1.5,"check: markup &gt;150%",IF(Q36&lt;0,"below cost",""))))</f>
        <v/>
      </c>
    </row>
    <row r="37" customFormat="false" ht="15" hidden="false" customHeight="false" outlineLevel="0" collapsed="false">
      <c r="A37" s="9" t="s">
        <v>14</v>
      </c>
      <c r="B37" s="9" t="s">
        <v>206</v>
      </c>
      <c r="C37" s="9" t="s">
        <v>41</v>
      </c>
      <c r="D37" s="10" t="s">
        <v>42</v>
      </c>
      <c r="E37" s="10" t="s">
        <v>43</v>
      </c>
      <c r="F37" s="9" t="n">
        <f aca="false">IF(OR(D37="",E37=""),1,MAX(1,DATEVALUE(E37)-DATEVALUE(D37)))</f>
        <v>3</v>
      </c>
      <c r="G37" s="11" t="n">
        <v>32228</v>
      </c>
      <c r="H37" s="11" t="n">
        <v>47200</v>
      </c>
      <c r="I37" s="11"/>
      <c r="J37" s="11"/>
      <c r="K37" s="11"/>
      <c r="L37" s="12" t="n">
        <v>387.11</v>
      </c>
      <c r="M37" s="13" t="n">
        <v>0.12</v>
      </c>
      <c r="N37" s="14" t="n">
        <f aca="false">IF(G37="","",G37/F37)</f>
        <v>10742.6666666667</v>
      </c>
      <c r="O37" s="14" t="n">
        <f aca="false">IF(COUNT(H37:K37)=0,"",MIN(H37:K37)/F37)</f>
        <v>15733.3333333333</v>
      </c>
      <c r="P37" s="14" t="n">
        <f aca="false">IF(L37="","",L37*95/F37)</f>
        <v>12258.4833333333</v>
      </c>
      <c r="Q37" s="15" t="n">
        <f aca="false">IF(OR(N37="",O37=""),"",(IF(AND(N37&gt;7500,O37&gt;7500),O37/(1+IF(O37&lt;=1000,0,IF(O37&lt;=7500,0.05,0.18)))-IF(AND(N37&gt;7500,O37&gt;7500),N37/1.18,N37),(O37-IF(AND(N37&gt;7500,O37&gt;7500),N37/1.18,N37))/(1+IF(O37&lt;=1000,0,IF(O37&lt;=7500,0.05,0.18)))))/(IF(AND(N37&gt;7500,O37&gt;7500),N37/1.18,N37)))</f>
        <v>0.464564974556287</v>
      </c>
      <c r="R37" s="15" t="n">
        <f aca="false">IF(OR(N37="",O37=""),"",((O37-N37)/1.18)/N37)</f>
        <v>0.393699130979904</v>
      </c>
      <c r="S37" s="15" t="n">
        <f aca="false">IF(OR(P37="",O37=""),"",(P37-O37)/O37)</f>
        <v>-0.220859110169491</v>
      </c>
      <c r="T37" s="9" t="str">
        <f aca="false">IF(AND(D37="",G37&lt;&gt;""),"no dates - assumed 1 night",IF(Q37="","",IF(Q37&gt;1.5,"check: markup &gt;150%",IF(Q37&lt;0,"below cost",""))))</f>
        <v/>
      </c>
    </row>
    <row r="38" customFormat="false" ht="15" hidden="false" customHeight="false" outlineLevel="0" collapsed="false">
      <c r="A38" s="9" t="s">
        <v>14</v>
      </c>
      <c r="B38" s="9" t="s">
        <v>206</v>
      </c>
      <c r="C38" s="9" t="s">
        <v>44</v>
      </c>
      <c r="D38" s="10" t="s">
        <v>45</v>
      </c>
      <c r="E38" s="10" t="s">
        <v>46</v>
      </c>
      <c r="F38" s="9" t="n">
        <f aca="false">IF(OR(D38="",E38=""),1,MAX(1,DATEVALUE(E38)-DATEVALUE(D38)))</f>
        <v>3</v>
      </c>
      <c r="G38" s="11" t="n">
        <v>33915</v>
      </c>
      <c r="H38" s="11" t="n">
        <v>49560</v>
      </c>
      <c r="I38" s="11"/>
      <c r="J38" s="11"/>
      <c r="K38" s="11"/>
      <c r="L38" s="12" t="n">
        <v>365.79</v>
      </c>
      <c r="M38" s="13" t="n">
        <v>0.12</v>
      </c>
      <c r="N38" s="14" t="n">
        <f aca="false">IF(G38="","",G38/F38)</f>
        <v>11305</v>
      </c>
      <c r="O38" s="14" t="n">
        <f aca="false">IF(COUNT(H38:K38)=0,"",MIN(H38:K38)/F38)</f>
        <v>16520</v>
      </c>
      <c r="P38" s="14" t="n">
        <f aca="false">IF(L38="","",L38*95/F38)</f>
        <v>11583.35</v>
      </c>
      <c r="Q38" s="15" t="n">
        <f aca="false">IF(OR(N38="",O38=""),"",(IF(AND(N38&gt;7500,O38&gt;7500),O38/(1+IF(O38&lt;=1000,0,IF(O38&lt;=7500,0.05,0.18)))-IF(AND(N38&gt;7500,O38&gt;7500),N38/1.18,N38),(O38-IF(AND(N38&gt;7500,O38&gt;7500),N38/1.18,N38))/(1+IF(O38&lt;=1000,0,IF(O38&lt;=7500,0.05,0.18)))))/(IF(AND(N38&gt;7500,O38&gt;7500),N38/1.18,N38)))</f>
        <v>0.461300309597523</v>
      </c>
      <c r="R38" s="15" t="n">
        <f aca="false">IF(OR(N38="",O38=""),"",((O38-N38)/1.18)/N38)</f>
        <v>0.390932465760613</v>
      </c>
      <c r="S38" s="15" t="n">
        <f aca="false">IF(OR(P38="",O38=""),"",(P38-O38)/O38)</f>
        <v>-0.298828692493947</v>
      </c>
      <c r="T38" s="9" t="str">
        <f aca="false">IF(AND(D38="",G38&lt;&gt;""),"no dates - assumed 1 night",IF(Q38="","",IF(Q38&gt;1.5,"check: markup &gt;150%",IF(Q38&lt;0,"below cost",""))))</f>
        <v/>
      </c>
    </row>
    <row r="39" customFormat="false" ht="15" hidden="false" customHeight="false" outlineLevel="0" collapsed="false">
      <c r="A39" s="9" t="s">
        <v>14</v>
      </c>
      <c r="B39" s="9" t="s">
        <v>206</v>
      </c>
      <c r="C39" s="9" t="s">
        <v>47</v>
      </c>
      <c r="D39" s="10" t="s">
        <v>48</v>
      </c>
      <c r="E39" s="10" t="s">
        <v>49</v>
      </c>
      <c r="F39" s="9" t="n">
        <f aca="false">IF(OR(D39="",E39=""),1,MAX(1,DATEVALUE(E39)-DATEVALUE(D39)))</f>
        <v>3</v>
      </c>
      <c r="G39" s="11"/>
      <c r="H39" s="11" t="n">
        <v>64900</v>
      </c>
      <c r="I39" s="11"/>
      <c r="J39" s="11"/>
      <c r="K39" s="11"/>
      <c r="L39" s="12" t="n">
        <v>598.8</v>
      </c>
      <c r="M39" s="13" t="n">
        <v>0.12</v>
      </c>
      <c r="N39" s="14" t="str">
        <f aca="false">IF(G39="","",G39/F39)</f>
        <v/>
      </c>
      <c r="O39" s="14" t="n">
        <f aca="false">IF(COUNT(H39:K39)=0,"",MIN(H39:K39)/F39)</f>
        <v>21633.3333333333</v>
      </c>
      <c r="P39" s="14" t="n">
        <f aca="false">IF(L39="","",L39*95/F39)</f>
        <v>18962</v>
      </c>
      <c r="Q39" s="15" t="str">
        <f aca="false">IF(OR(N39="",O39=""),"",(IF(AND(N39&gt;7500,O39&gt;7500),O39/(1+IF(O39&lt;=1000,0,IF(O39&lt;=7500,0.05,0.18)))-IF(AND(N39&gt;7500,O39&gt;7500),N39/1.18,N39),(O39-IF(AND(N39&gt;7500,O39&gt;7500),N39/1.18,N39))/(1+IF(O39&lt;=1000,0,IF(O39&lt;=7500,0.05,0.18)))))/(IF(AND(N39&gt;7500,O39&gt;7500),N39/1.18,N39)))</f>
        <v/>
      </c>
      <c r="R39" s="15" t="str">
        <f aca="false">IF(OR(N39="",O39=""),"",((O39-N39)/1.18)/N39)</f>
        <v/>
      </c>
      <c r="S39" s="15" t="n">
        <f aca="false">IF(OR(P39="",O39=""),"",(P39-O39)/O39)</f>
        <v>-0.123482280431433</v>
      </c>
      <c r="T39" s="9" t="str">
        <f aca="false">IF(AND(D39="",G39&lt;&gt;""),"no dates - assumed 1 night",IF(Q39="","",IF(Q39&gt;1.5,"check: markup &gt;150%",IF(Q39&lt;0,"below cost",""))))</f>
        <v/>
      </c>
    </row>
    <row r="40" customFormat="false" ht="15" hidden="false" customHeight="false" outlineLevel="0" collapsed="false">
      <c r="A40" s="9" t="s">
        <v>14</v>
      </c>
      <c r="B40" s="9" t="s">
        <v>207</v>
      </c>
      <c r="C40" s="9" t="s">
        <v>41</v>
      </c>
      <c r="D40" s="10" t="s">
        <v>42</v>
      </c>
      <c r="E40" s="10" t="s">
        <v>43</v>
      </c>
      <c r="F40" s="9" t="n">
        <f aca="false">IF(OR(D40="",E40=""),1,MAX(1,DATEVALUE(E40)-DATEVALUE(D40)))</f>
        <v>3</v>
      </c>
      <c r="G40" s="11" t="n">
        <v>69066</v>
      </c>
      <c r="H40" s="11" t="n">
        <v>79650</v>
      </c>
      <c r="I40" s="11"/>
      <c r="J40" s="11"/>
      <c r="K40" s="11"/>
      <c r="L40" s="12" t="n">
        <v>822.3</v>
      </c>
      <c r="M40" s="13" t="n">
        <v>0.14</v>
      </c>
      <c r="N40" s="14" t="n">
        <f aca="false">IF(G40="","",G40/F40)</f>
        <v>23022</v>
      </c>
      <c r="O40" s="14" t="n">
        <f aca="false">IF(COUNT(H40:K40)=0,"",MIN(H40:K40)/F40)</f>
        <v>26550</v>
      </c>
      <c r="P40" s="14" t="n">
        <f aca="false">IF(L40="","",L40*95/F40)</f>
        <v>26039.5</v>
      </c>
      <c r="Q40" s="15" t="n">
        <f aca="false">IF(OR(N40="",O40=""),"",(IF(AND(N40&gt;7500,O40&gt;7500),O40/(1+IF(O40&lt;=1000,0,IF(O40&lt;=7500,0.05,0.18)))-IF(AND(N40&gt;7500,O40&gt;7500),N40/1.18,N40),(O40-IF(AND(N40&gt;7500,O40&gt;7500),N40/1.18,N40))/(1+IF(O40&lt;=1000,0,IF(O40&lt;=7500,0.05,0.18)))))/(IF(AND(N40&gt;7500,O40&gt;7500),N40/1.18,N40)))</f>
        <v>0.153244722439406</v>
      </c>
      <c r="R40" s="15" t="n">
        <f aca="false">IF(OR(N40="",O40=""),"",((O40-N40)/1.18)/N40)</f>
        <v>0.129868408846954</v>
      </c>
      <c r="S40" s="15" t="n">
        <f aca="false">IF(OR(P40="",O40=""),"",(P40-O40)/O40)</f>
        <v>-0.0192278719397363</v>
      </c>
      <c r="T40" s="9" t="str">
        <f aca="false">IF(AND(D40="",G40&lt;&gt;""),"no dates - assumed 1 night",IF(Q40="","",IF(Q40&gt;1.5,"check: markup &gt;150%",IF(Q40&lt;0,"below cost",""))))</f>
        <v/>
      </c>
    </row>
    <row r="41" customFormat="false" ht="15" hidden="false" customHeight="false" outlineLevel="0" collapsed="false">
      <c r="A41" s="9" t="s">
        <v>14</v>
      </c>
      <c r="B41" s="9" t="s">
        <v>207</v>
      </c>
      <c r="C41" s="9" t="s">
        <v>44</v>
      </c>
      <c r="D41" s="10" t="s">
        <v>45</v>
      </c>
      <c r="E41" s="10" t="s">
        <v>46</v>
      </c>
      <c r="F41" s="9" t="n">
        <f aca="false">IF(OR(D41="",E41=""),1,MAX(1,DATEVALUE(E41)-DATEVALUE(D41)))</f>
        <v>3</v>
      </c>
      <c r="G41" s="11" t="n">
        <v>73670</v>
      </c>
      <c r="H41" s="11" t="n">
        <v>84960</v>
      </c>
      <c r="I41" s="11"/>
      <c r="J41" s="11"/>
      <c r="K41" s="11"/>
      <c r="L41" s="12" t="n">
        <v>877.15</v>
      </c>
      <c r="M41" s="13" t="n">
        <v>0.14</v>
      </c>
      <c r="N41" s="14" t="n">
        <f aca="false">IF(G41="","",G41/F41)</f>
        <v>24556.6666666667</v>
      </c>
      <c r="O41" s="14" t="n">
        <f aca="false">IF(COUNT(H41:K41)=0,"",MIN(H41:K41)/F41)</f>
        <v>28320</v>
      </c>
      <c r="P41" s="14" t="n">
        <f aca="false">IF(L41="","",L41*95/F41)</f>
        <v>27776.4166666667</v>
      </c>
      <c r="Q41" s="15" t="n">
        <f aca="false">IF(OR(N41="",O41=""),"",(IF(AND(N41&gt;7500,O41&gt;7500),O41/(1+IF(O41&lt;=1000,0,IF(O41&lt;=7500,0.05,0.18)))-IF(AND(N41&gt;7500,O41&gt;7500),N41/1.18,N41),(O41-IF(AND(N41&gt;7500,O41&gt;7500),N41/1.18,N41))/(1+IF(O41&lt;=1000,0,IF(O41&lt;=7500,0.05,0.18)))))/(IF(AND(N41&gt;7500,O41&gt;7500),N41/1.18,N41)))</f>
        <v>0.153250984118365</v>
      </c>
      <c r="R41" s="15" t="n">
        <f aca="false">IF(OR(N41="",O41=""),"",((O41-N41)/1.18)/N41)</f>
        <v>0.129873715354547</v>
      </c>
      <c r="S41" s="15" t="n">
        <f aca="false">IF(OR(P41="",O41=""),"",(P41-O41)/O41)</f>
        <v>-0.0191943267419962</v>
      </c>
      <c r="T41" s="9" t="str">
        <f aca="false">IF(AND(D41="",G41&lt;&gt;""),"no dates - assumed 1 night",IF(Q41="","",IF(Q41&gt;1.5,"check: markup &gt;150%",IF(Q41&lt;0,"below cost",""))))</f>
        <v/>
      </c>
    </row>
    <row r="42" customFormat="false" ht="15" hidden="false" customHeight="false" outlineLevel="0" collapsed="false">
      <c r="A42" s="9" t="s">
        <v>14</v>
      </c>
      <c r="B42" s="9" t="s">
        <v>207</v>
      </c>
      <c r="C42" s="9" t="s">
        <v>50</v>
      </c>
      <c r="D42" s="10" t="s">
        <v>51</v>
      </c>
      <c r="E42" s="10" t="s">
        <v>52</v>
      </c>
      <c r="F42" s="9" t="n">
        <f aca="false">IF(OR(D42="",E42=""),1,MAX(1,DATEVALUE(E42)-DATEVALUE(D42)))</f>
        <v>3</v>
      </c>
      <c r="G42" s="11" t="n">
        <v>74182</v>
      </c>
      <c r="H42" s="11" t="n">
        <v>85550</v>
      </c>
      <c r="I42" s="11"/>
      <c r="J42" s="11"/>
      <c r="K42" s="11"/>
      <c r="L42" s="12" t="n">
        <v>894.08</v>
      </c>
      <c r="M42" s="13" t="n">
        <v>0.13</v>
      </c>
      <c r="N42" s="14" t="n">
        <f aca="false">IF(G42="","",G42/F42)</f>
        <v>24727.3333333333</v>
      </c>
      <c r="O42" s="14" t="n">
        <f aca="false">IF(COUNT(H42:K42)=0,"",MIN(H42:K42)/F42)</f>
        <v>28516.6666666667</v>
      </c>
      <c r="P42" s="14" t="n">
        <f aca="false">IF(L42="","",L42*95/F42)</f>
        <v>28312.5333333333</v>
      </c>
      <c r="Q42" s="15" t="n">
        <f aca="false">IF(OR(N42="",O42=""),"",(IF(AND(N42&gt;7500,O42&gt;7500),O42/(1+IF(O42&lt;=1000,0,IF(O42&lt;=7500,0.05,0.18)))-IF(AND(N42&gt;7500,O42&gt;7500),N42/1.18,N42),(O42-IF(AND(N42&gt;7500,O42&gt;7500),N42/1.18,N42))/(1+IF(O42&lt;=1000,0,IF(O42&lt;=7500,0.05,0.18)))))/(IF(AND(N42&gt;7500,O42&gt;7500),N42/1.18,N42)))</f>
        <v>0.153244722439406</v>
      </c>
      <c r="R42" s="15" t="n">
        <f aca="false">IF(OR(N42="",O42=""),"",((O42-N42)/1.18)/N42)</f>
        <v>0.129868408846954</v>
      </c>
      <c r="S42" s="15" t="n">
        <f aca="false">IF(OR(P42="",O42=""),"",(P42-O42)/O42)</f>
        <v>-0.00715838690824073</v>
      </c>
      <c r="T42" s="9" t="str">
        <f aca="false">IF(AND(D42="",G42&lt;&gt;""),"no dates - assumed 1 night",IF(Q42="","",IF(Q42&gt;1.5,"check: markup &gt;150%",IF(Q42&lt;0,"below cost",""))))</f>
        <v/>
      </c>
    </row>
    <row r="43" customFormat="false" ht="15" hidden="false" customHeight="false" outlineLevel="0" collapsed="false">
      <c r="A43" s="9" t="s">
        <v>14</v>
      </c>
      <c r="B43" s="9" t="s">
        <v>208</v>
      </c>
      <c r="C43" s="9" t="s">
        <v>41</v>
      </c>
      <c r="D43" s="10" t="s">
        <v>42</v>
      </c>
      <c r="E43" s="10" t="s">
        <v>43</v>
      </c>
      <c r="F43" s="9" t="n">
        <f aca="false">IF(OR(D43="",E43=""),1,MAX(1,DATEVALUE(E43)-DATEVALUE(D43)))</f>
        <v>3</v>
      </c>
      <c r="G43" s="11" t="n">
        <v>19110</v>
      </c>
      <c r="H43" s="11" t="n">
        <v>16726</v>
      </c>
      <c r="I43" s="11"/>
      <c r="J43" s="11"/>
      <c r="K43" s="11"/>
      <c r="L43" s="12" t="n">
        <v>238.84</v>
      </c>
      <c r="M43" s="13" t="n">
        <v>0.25</v>
      </c>
      <c r="N43" s="14" t="n">
        <f aca="false">IF(G43="","",G43/F43)</f>
        <v>6370</v>
      </c>
      <c r="O43" s="14" t="n">
        <f aca="false">IF(COUNT(H43:K43)=0,"",MIN(H43:K43)/F43)</f>
        <v>5575.33333333333</v>
      </c>
      <c r="P43" s="14" t="n">
        <f aca="false">IF(L43="","",L43*95/F43)</f>
        <v>7563.26666666667</v>
      </c>
      <c r="Q43" s="15" t="n">
        <f aca="false">IF(OR(N43="",O43=""),"",(IF(AND(N43&gt;7500,O43&gt;7500),O43/(1+IF(O43&lt;=1000,0,IF(O43&lt;=7500,0.05,0.18)))-IF(AND(N43&gt;7500,O43&gt;7500),N43/1.18,N43),(O43-IF(AND(N43&gt;7500,O43&gt;7500),N43/1.18,N43))/(1+IF(O43&lt;=1000,0,IF(O43&lt;=7500,0.05,0.18)))))/(IF(AND(N43&gt;7500,O43&gt;7500),N43/1.18,N43)))</f>
        <v>-0.118810894321098</v>
      </c>
      <c r="R43" s="15" t="n">
        <f aca="false">IF(OR(N43="",O43=""),"",((O43-N43)/1.18)/N43)</f>
        <v>-0.105721558506062</v>
      </c>
      <c r="S43" s="15" t="n">
        <f aca="false">IF(OR(P43="",O43=""),"",(P43-O43)/O43)</f>
        <v>0.356558651201722</v>
      </c>
      <c r="T43" s="9" t="str">
        <f aca="false">IF(AND(D43="",G43&lt;&gt;""),"no dates - assumed 1 night",IF(Q43="","",IF(Q43&gt;1.5,"check: markup &gt;150%",IF(Q43&lt;0,"below cost",""))))</f>
        <v>below cost</v>
      </c>
    </row>
    <row r="44" customFormat="false" ht="15" hidden="false" customHeight="false" outlineLevel="0" collapsed="false">
      <c r="A44" s="9" t="s">
        <v>14</v>
      </c>
      <c r="B44" s="9" t="s">
        <v>208</v>
      </c>
      <c r="C44" s="9" t="s">
        <v>44</v>
      </c>
      <c r="D44" s="10" t="s">
        <v>45</v>
      </c>
      <c r="E44" s="10" t="s">
        <v>46</v>
      </c>
      <c r="F44" s="9" t="n">
        <f aca="false">IF(OR(D44="",E44=""),1,MAX(1,DATEVALUE(E44)-DATEVALUE(D44)))</f>
        <v>3</v>
      </c>
      <c r="G44" s="11" t="n">
        <v>20897</v>
      </c>
      <c r="H44" s="11" t="n">
        <v>16726</v>
      </c>
      <c r="I44" s="11"/>
      <c r="J44" s="11"/>
      <c r="K44" s="11"/>
      <c r="L44" s="12" t="n">
        <v>215.34</v>
      </c>
      <c r="M44" s="13" t="n">
        <v>0.12</v>
      </c>
      <c r="N44" s="14" t="n">
        <f aca="false">IF(G44="","",G44/F44)</f>
        <v>6965.66666666667</v>
      </c>
      <c r="O44" s="14" t="n">
        <f aca="false">IF(COUNT(H44:K44)=0,"",MIN(H44:K44)/F44)</f>
        <v>5575.33333333333</v>
      </c>
      <c r="P44" s="14" t="n">
        <f aca="false">IF(L44="","",L44*95/F44)</f>
        <v>6819.1</v>
      </c>
      <c r="Q44" s="15" t="n">
        <f aca="false">IF(OR(N44="",O44=""),"",(IF(AND(N44&gt;7500,O44&gt;7500),O44/(1+IF(O44&lt;=1000,0,IF(O44&lt;=7500,0.05,0.18)))-IF(AND(N44&gt;7500,O44&gt;7500),N44/1.18,N44),(O44-IF(AND(N44&gt;7500,O44&gt;7500),N44/1.18,N44))/(1+IF(O44&lt;=1000,0,IF(O44&lt;=7500,0.05,0.18)))))/(IF(AND(N44&gt;7500,O44&gt;7500),N44/1.18,N44)))</f>
        <v>-0.190093360404888</v>
      </c>
      <c r="R44" s="15" t="n">
        <f aca="false">IF(OR(N44="",O44=""),"",((O44-N44)/1.18)/N44)</f>
        <v>-0.169150871546723</v>
      </c>
      <c r="S44" s="15" t="n">
        <f aca="false">IF(OR(P44="",O44=""),"",(P44-O44)/O44)</f>
        <v>0.223083821595121</v>
      </c>
      <c r="T44" s="9" t="str">
        <f aca="false">IF(AND(D44="",G44&lt;&gt;""),"no dates - assumed 1 night",IF(Q44="","",IF(Q44&gt;1.5,"check: markup &gt;150%",IF(Q44&lt;0,"below cost",""))))</f>
        <v>below cost</v>
      </c>
    </row>
    <row r="45" customFormat="false" ht="15" hidden="false" customHeight="false" outlineLevel="0" collapsed="false">
      <c r="A45" s="9" t="s">
        <v>14</v>
      </c>
      <c r="B45" s="9" t="s">
        <v>208</v>
      </c>
      <c r="C45" s="9" t="s">
        <v>47</v>
      </c>
      <c r="D45" s="10" t="s">
        <v>48</v>
      </c>
      <c r="E45" s="10" t="s">
        <v>49</v>
      </c>
      <c r="F45" s="9" t="n">
        <f aca="false">IF(OR(D45="",E45=""),1,MAX(1,DATEVALUE(E45)-DATEVALUE(D45)))</f>
        <v>3</v>
      </c>
      <c r="G45" s="11" t="n">
        <v>18396</v>
      </c>
      <c r="H45" s="11" t="n">
        <v>27226</v>
      </c>
      <c r="I45" s="11"/>
      <c r="J45" s="11"/>
      <c r="K45" s="11"/>
      <c r="L45" s="12" t="n">
        <v>246.96</v>
      </c>
      <c r="M45" s="13" t="n">
        <v>0.12</v>
      </c>
      <c r="N45" s="14" t="n">
        <f aca="false">IF(G45="","",G45/F45)</f>
        <v>6132</v>
      </c>
      <c r="O45" s="14" t="n">
        <f aca="false">IF(COUNT(H45:K45)=0,"",MIN(H45:K45)/F45)</f>
        <v>9075.33333333333</v>
      </c>
      <c r="P45" s="14" t="n">
        <f aca="false">IF(L45="","",L45*95/F45)</f>
        <v>7820.4</v>
      </c>
      <c r="Q45" s="15" t="n">
        <f aca="false">IF(OR(N45="",O45=""),"",(IF(AND(N45&gt;7500,O45&gt;7500),O45/(1+IF(O45&lt;=1000,0,IF(O45&lt;=7500,0.05,0.18)))-IF(AND(N45&gt;7500,O45&gt;7500),N45/1.18,N45),(O45-IF(AND(N45&gt;7500,O45&gt;7500),N45/1.18,N45))/(1+IF(O45&lt;=1000,0,IF(O45&lt;=7500,0.05,0.18)))))/(IF(AND(N45&gt;7500,O45&gt;7500),N45/1.18,N45)))</f>
        <v>0.406775975617397</v>
      </c>
      <c r="R45" s="15" t="n">
        <f aca="false">IF(OR(N45="",O45=""),"",((O45-N45)/1.18)/N45)</f>
        <v>0.406775975617397</v>
      </c>
      <c r="S45" s="15" t="n">
        <f aca="false">IF(OR(P45="",O45=""),"",(P45-O45)/O45)</f>
        <v>-0.138279585690149</v>
      </c>
      <c r="T45" s="9" t="str">
        <f aca="false">IF(AND(D45="",G45&lt;&gt;""),"no dates - assumed 1 night",IF(Q45="","",IF(Q45&gt;1.5,"check: markup &gt;150%",IF(Q45&lt;0,"below cost",""))))</f>
        <v/>
      </c>
    </row>
    <row r="46" customFormat="false" ht="15" hidden="false" customHeight="false" outlineLevel="0" collapsed="false">
      <c r="A46" s="9" t="s">
        <v>14</v>
      </c>
      <c r="B46" s="9" t="s">
        <v>208</v>
      </c>
      <c r="C46" s="9" t="s">
        <v>50</v>
      </c>
      <c r="D46" s="10" t="s">
        <v>200</v>
      </c>
      <c r="E46" s="10" t="s">
        <v>130</v>
      </c>
      <c r="F46" s="9" t="n">
        <f aca="false">IF(OR(D46="",E46=""),1,MAX(1,DATEVALUE(E46)-DATEVALUE(D46)))</f>
        <v>5</v>
      </c>
      <c r="G46" s="11" t="n">
        <v>69070</v>
      </c>
      <c r="H46" s="11" t="n">
        <v>78981</v>
      </c>
      <c r="I46" s="11"/>
      <c r="J46" s="11"/>
      <c r="K46" s="11"/>
      <c r="L46" s="12" t="n">
        <v>700.35</v>
      </c>
      <c r="M46" s="13" t="n">
        <v>0.12</v>
      </c>
      <c r="N46" s="14" t="n">
        <f aca="false">IF(G46="","",G46/F46)</f>
        <v>13814</v>
      </c>
      <c r="O46" s="14" t="n">
        <f aca="false">IF(COUNT(H46:K46)=0,"",MIN(H46:K46)/F46)</f>
        <v>15796.2</v>
      </c>
      <c r="P46" s="14" t="n">
        <f aca="false">IF(L46="","",L46*95/F46)</f>
        <v>13306.65</v>
      </c>
      <c r="Q46" s="15" t="n">
        <f aca="false">IF(OR(N46="",O46=""),"",(IF(AND(N46&gt;7500,O46&gt;7500),O46/(1+IF(O46&lt;=1000,0,IF(O46&lt;=7500,0.05,0.18)))-IF(AND(N46&gt;7500,O46&gt;7500),N46/1.18,N46),(O46-IF(AND(N46&gt;7500,O46&gt;7500),N46/1.18,N46))/(1+IF(O46&lt;=1000,0,IF(O46&lt;=7500,0.05,0.18)))))/(IF(AND(N46&gt;7500,O46&gt;7500),N46/1.18,N46)))</f>
        <v>0.143492109454177</v>
      </c>
      <c r="R46" s="15" t="n">
        <f aca="false">IF(OR(N46="",O46=""),"",((O46-N46)/1.18)/N46)</f>
        <v>0.121603482588286</v>
      </c>
      <c r="S46" s="15" t="n">
        <f aca="false">IF(OR(P46="",O46=""),"",(P46-O46)/O46)</f>
        <v>-0.157604360542409</v>
      </c>
      <c r="T46" s="9" t="str">
        <f aca="false">IF(AND(D46="",G46&lt;&gt;""),"no dates - assumed 1 night",IF(Q46="","",IF(Q46&gt;1.5,"check: markup &gt;150%",IF(Q46&lt;0,"below cost",""))))</f>
        <v/>
      </c>
    </row>
    <row r="47" customFormat="false" ht="15" hidden="false" customHeight="false" outlineLevel="0" collapsed="false">
      <c r="A47" s="9" t="s">
        <v>14</v>
      </c>
      <c r="B47" s="9" t="s">
        <v>208</v>
      </c>
      <c r="C47" s="9" t="s">
        <v>54</v>
      </c>
      <c r="D47" s="10" t="s">
        <v>55</v>
      </c>
      <c r="E47" s="10" t="s">
        <v>56</v>
      </c>
      <c r="F47" s="9" t="n">
        <f aca="false">IF(OR(D47="",E47=""),1,MAX(1,DATEVALUE(E47)-DATEVALUE(D47)))</f>
        <v>3</v>
      </c>
      <c r="G47" s="11" t="n">
        <v>14809</v>
      </c>
      <c r="H47" s="11" t="n">
        <v>19503</v>
      </c>
      <c r="I47" s="11"/>
      <c r="J47" s="11"/>
      <c r="K47" s="11"/>
      <c r="L47" s="12" t="n">
        <v>239.28</v>
      </c>
      <c r="M47" s="13" t="n">
        <v>0.12</v>
      </c>
      <c r="N47" s="14" t="n">
        <f aca="false">IF(G47="","",G47/F47)</f>
        <v>4936.33333333333</v>
      </c>
      <c r="O47" s="14" t="n">
        <f aca="false">IF(COUNT(H47:K47)=0,"",MIN(H47:K47)/F47)</f>
        <v>6501</v>
      </c>
      <c r="P47" s="14" t="n">
        <f aca="false">IF(L47="","",L47*95/F47)</f>
        <v>7577.2</v>
      </c>
      <c r="Q47" s="15" t="n">
        <f aca="false">IF(OR(N47="",O47=""),"",(IF(AND(N47&gt;7500,O47&gt;7500),O47/(1+IF(O47&lt;=1000,0,IF(O47&lt;=7500,0.05,0.18)))-IF(AND(N47&gt;7500,O47&gt;7500),N47/1.18,N47),(O47-IF(AND(N47&gt;7500,O47&gt;7500),N47/1.18,N47))/(1+IF(O47&lt;=1000,0,IF(O47&lt;=7500,0.05,0.18)))))/(IF(AND(N47&gt;7500,O47&gt;7500),N47/1.18,N47)))</f>
        <v>0.301875629041542</v>
      </c>
      <c r="R47" s="15" t="n">
        <f aca="false">IF(OR(N47="",O47=""),"",((O47-N47)/1.18)/N47)</f>
        <v>0.268618144486118</v>
      </c>
      <c r="S47" s="15" t="n">
        <f aca="false">IF(OR(P47="",O47=""),"",(P47-O47)/O47)</f>
        <v>0.165543762498077</v>
      </c>
      <c r="T47" s="9" t="str">
        <f aca="false">IF(AND(D47="",G47&lt;&gt;""),"no dates - assumed 1 night",IF(Q47="","",IF(Q47&gt;1.5,"check: markup &gt;150%",IF(Q47&lt;0,"below cost",""))))</f>
        <v/>
      </c>
    </row>
    <row r="48" customFormat="false" ht="15" hidden="false" customHeight="false" outlineLevel="0" collapsed="false">
      <c r="A48" s="9" t="s">
        <v>14</v>
      </c>
      <c r="B48" s="9" t="s">
        <v>209</v>
      </c>
      <c r="C48" s="9" t="s">
        <v>41</v>
      </c>
      <c r="D48" s="10" t="s">
        <v>42</v>
      </c>
      <c r="E48" s="10" t="s">
        <v>43</v>
      </c>
      <c r="F48" s="9" t="n">
        <f aca="false">IF(OR(D48="",E48=""),1,MAX(1,DATEVALUE(E48)-DATEVALUE(D48)))</f>
        <v>3</v>
      </c>
      <c r="G48" s="11" t="n">
        <v>13070</v>
      </c>
      <c r="H48" s="11" t="n">
        <v>16692</v>
      </c>
      <c r="I48" s="11"/>
      <c r="J48" s="11"/>
      <c r="K48" s="11"/>
      <c r="L48" s="12" t="n">
        <v>177.44</v>
      </c>
      <c r="M48" s="13" t="n">
        <v>0.12</v>
      </c>
      <c r="N48" s="14" t="n">
        <f aca="false">IF(G48="","",G48/F48)</f>
        <v>4356.66666666667</v>
      </c>
      <c r="O48" s="14" t="n">
        <f aca="false">IF(COUNT(H48:K48)=0,"",MIN(H48:K48)/F48)</f>
        <v>5564</v>
      </c>
      <c r="P48" s="14" t="n">
        <f aca="false">IF(L48="","",L48*95/F48)</f>
        <v>5618.93333333333</v>
      </c>
      <c r="Q48" s="15" t="n">
        <f aca="false">IF(OR(N48="",O48=""),"",(IF(AND(N48&gt;7500,O48&gt;7500),O48/(1+IF(O48&lt;=1000,0,IF(O48&lt;=7500,0.05,0.18)))-IF(AND(N48&gt;7500,O48&gt;7500),N48/1.18,N48),(O48-IF(AND(N48&gt;7500,O48&gt;7500),N48/1.18,N48))/(1+IF(O48&lt;=1000,0,IF(O48&lt;=7500,0.05,0.18)))))/(IF(AND(N48&gt;7500,O48&gt;7500),N48/1.18,N48)))</f>
        <v>0.26392684082049</v>
      </c>
      <c r="R48" s="15" t="n">
        <f aca="false">IF(OR(N48="",O48=""),"",((O48-N48)/1.18)/N48)</f>
        <v>0.234850154967385</v>
      </c>
      <c r="S48" s="15" t="n">
        <f aca="false">IF(OR(P48="",O48=""),"",(P48-O48)/O48)</f>
        <v>0.00987299305056315</v>
      </c>
      <c r="T48" s="9" t="str">
        <f aca="false">IF(AND(D48="",G48&lt;&gt;""),"no dates - assumed 1 night",IF(Q48="","",IF(Q48&gt;1.5,"check: markup &gt;150%",IF(Q48&lt;0,"below cost",""))))</f>
        <v/>
      </c>
    </row>
    <row r="49" customFormat="false" ht="15" hidden="false" customHeight="false" outlineLevel="0" collapsed="false">
      <c r="A49" s="9" t="s">
        <v>14</v>
      </c>
      <c r="B49" s="9" t="s">
        <v>209</v>
      </c>
      <c r="C49" s="9" t="s">
        <v>44</v>
      </c>
      <c r="D49" s="10" t="s">
        <v>45</v>
      </c>
      <c r="E49" s="10" t="s">
        <v>46</v>
      </c>
      <c r="F49" s="9" t="n">
        <f aca="false">IF(OR(D49="",E49=""),1,MAX(1,DATEVALUE(E49)-DATEVALUE(D49)))</f>
        <v>3</v>
      </c>
      <c r="G49" s="11" t="n">
        <v>13150</v>
      </c>
      <c r="H49" s="11" t="n">
        <v>16692</v>
      </c>
      <c r="I49" s="11"/>
      <c r="J49" s="11"/>
      <c r="K49" s="11"/>
      <c r="L49" s="12" t="n">
        <v>177.43</v>
      </c>
      <c r="M49" s="13" t="n">
        <v>0.16</v>
      </c>
      <c r="N49" s="14" t="n">
        <f aca="false">IF(G49="","",G49/F49)</f>
        <v>4383.33333333333</v>
      </c>
      <c r="O49" s="14" t="n">
        <f aca="false">IF(COUNT(H49:K49)=0,"",MIN(H49:K49)/F49)</f>
        <v>5564</v>
      </c>
      <c r="P49" s="14" t="n">
        <f aca="false">IF(L49="","",L49*95/F49)</f>
        <v>5618.61666666667</v>
      </c>
      <c r="Q49" s="15" t="n">
        <f aca="false">IF(OR(N49="",O49=""),"",(IF(AND(N49&gt;7500,O49&gt;7500),O49/(1+IF(O49&lt;=1000,0,IF(O49&lt;=7500,0.05,0.18)))-IF(AND(N49&gt;7500,O49&gt;7500),N49/1.18,N49),(O49-IF(AND(N49&gt;7500,O49&gt;7500),N49/1.18,N49))/(1+IF(O49&lt;=1000,0,IF(O49&lt;=7500,0.05,0.18)))))/(IF(AND(N49&gt;7500,O49&gt;7500),N49/1.18,N49)))</f>
        <v>0.256527249683143</v>
      </c>
      <c r="R49" s="15" t="n">
        <f aca="false">IF(OR(N49="",O49=""),"",((O49-N49)/1.18)/N49)</f>
        <v>0.228265773023136</v>
      </c>
      <c r="S49" s="15" t="n">
        <f aca="false">IF(OR(P49="",O49=""),"",(P49-O49)/O49)</f>
        <v>0.0098160795590704</v>
      </c>
      <c r="T49" s="9" t="str">
        <f aca="false">IF(AND(D49="",G49&lt;&gt;""),"no dates - assumed 1 night",IF(Q49="","",IF(Q49&gt;1.5,"check: markup &gt;150%",IF(Q49&lt;0,"below cost",""))))</f>
        <v/>
      </c>
    </row>
    <row r="50" customFormat="false" ht="15" hidden="false" customHeight="false" outlineLevel="0" collapsed="false">
      <c r="A50" s="9" t="s">
        <v>14</v>
      </c>
      <c r="B50" s="9" t="s">
        <v>209</v>
      </c>
      <c r="C50" s="9" t="s">
        <v>47</v>
      </c>
      <c r="D50" s="10" t="s">
        <v>48</v>
      </c>
      <c r="E50" s="10" t="s">
        <v>49</v>
      </c>
      <c r="F50" s="9" t="n">
        <f aca="false">IF(OR(D50="",E50=""),1,MAX(1,DATEVALUE(E50)-DATEVALUE(D50)))</f>
        <v>3</v>
      </c>
      <c r="G50" s="11" t="n">
        <v>18563</v>
      </c>
      <c r="H50" s="11" t="n">
        <v>20354</v>
      </c>
      <c r="I50" s="11"/>
      <c r="J50" s="11"/>
      <c r="K50" s="11"/>
      <c r="L50" s="12" t="n">
        <v>348.36</v>
      </c>
      <c r="M50" s="13" t="n">
        <v>0.28</v>
      </c>
      <c r="N50" s="14" t="n">
        <f aca="false">IF(G50="","",G50/F50)</f>
        <v>6187.66666666667</v>
      </c>
      <c r="O50" s="14" t="n">
        <f aca="false">IF(COUNT(H50:K50)=0,"",MIN(H50:K50)/F50)</f>
        <v>6784.66666666667</v>
      </c>
      <c r="P50" s="14" t="n">
        <f aca="false">IF(L50="","",L50*95/F50)</f>
        <v>11031.4</v>
      </c>
      <c r="Q50" s="15" t="n">
        <f aca="false">IF(OR(N50="",O50=""),"",(IF(AND(N50&gt;7500,O50&gt;7500),O50/(1+IF(O50&lt;=1000,0,IF(O50&lt;=7500,0.05,0.18)))-IF(AND(N50&gt;7500,O50&gt;7500),N50/1.18,N50),(O50-IF(AND(N50&gt;7500,O50&gt;7500),N50/1.18,N50))/(1+IF(O50&lt;=1000,0,IF(O50&lt;=7500,0.05,0.18)))))/(IF(AND(N50&gt;7500,O50&gt;7500),N50/1.18,N50)))</f>
        <v>0.0918878567965461</v>
      </c>
      <c r="R50" s="15" t="n">
        <f aca="false">IF(OR(N50="",O50=""),"",((O50-N50)/1.18)/N50)</f>
        <v>0.0817646183359097</v>
      </c>
      <c r="S50" s="15" t="n">
        <f aca="false">IF(OR(P50="",O50=""),"",(P50-O50)/O50)</f>
        <v>0.625931020929547</v>
      </c>
      <c r="T50" s="9" t="str">
        <f aca="false">IF(AND(D50="",G50&lt;&gt;""),"no dates - assumed 1 night",IF(Q50="","",IF(Q50&gt;1.5,"check: markup &gt;150%",IF(Q50&lt;0,"below cost",""))))</f>
        <v/>
      </c>
    </row>
    <row r="51" customFormat="false" ht="15" hidden="false" customHeight="false" outlineLevel="0" collapsed="false">
      <c r="A51" s="9" t="s">
        <v>14</v>
      </c>
      <c r="B51" s="9" t="s">
        <v>209</v>
      </c>
      <c r="C51" s="9" t="s">
        <v>50</v>
      </c>
      <c r="D51" s="10" t="s">
        <v>200</v>
      </c>
      <c r="E51" s="10" t="s">
        <v>130</v>
      </c>
      <c r="F51" s="9" t="n">
        <f aca="false">IF(OR(D51="",E51=""),1,MAX(1,DATEVALUE(E51)-DATEVALUE(D51)))</f>
        <v>5</v>
      </c>
      <c r="G51" s="11" t="n">
        <v>52892</v>
      </c>
      <c r="H51" s="11" t="n">
        <v>60227</v>
      </c>
      <c r="I51" s="11"/>
      <c r="J51" s="11"/>
      <c r="K51" s="11"/>
      <c r="L51" s="12" t="n">
        <v>922.15</v>
      </c>
      <c r="M51" s="13" t="n">
        <v>0.27</v>
      </c>
      <c r="N51" s="14" t="n">
        <f aca="false">IF(G51="","",G51/F51)</f>
        <v>10578.4</v>
      </c>
      <c r="O51" s="14" t="n">
        <f aca="false">IF(COUNT(H51:K51)=0,"",MIN(H51:K51)/F51)</f>
        <v>12045.4</v>
      </c>
      <c r="P51" s="14" t="n">
        <f aca="false">IF(L51="","",L51*95/F51)</f>
        <v>17520.85</v>
      </c>
      <c r="Q51" s="15" t="n">
        <f aca="false">IF(OR(N51="",O51=""),"",(IF(AND(N51&gt;7500,O51&gt;7500),O51/(1+IF(O51&lt;=1000,0,IF(O51&lt;=7500,0.05,0.18)))-IF(AND(N51&gt;7500,O51&gt;7500),N51/1.18,N51),(O51-IF(AND(N51&gt;7500,O51&gt;7500),N51/1.18,N51))/(1+IF(O51&lt;=1000,0,IF(O51&lt;=7500,0.05,0.18)))))/(IF(AND(N51&gt;7500,O51&gt;7500),N51/1.18,N51)))</f>
        <v>0.138678817212433</v>
      </c>
      <c r="R51" s="15" t="n">
        <f aca="false">IF(OR(N51="",O51=""),"",((O51-N51)/1.18)/N51)</f>
        <v>0.117524421366469</v>
      </c>
      <c r="S51" s="15" t="n">
        <f aca="false">IF(OR(P51="",O51=""),"",(P51-O51)/O51)</f>
        <v>0.454567718797217</v>
      </c>
      <c r="T51" s="9" t="str">
        <f aca="false">IF(AND(D51="",G51&lt;&gt;""),"no dates - assumed 1 night",IF(Q51="","",IF(Q51&gt;1.5,"check: markup &gt;150%",IF(Q51&lt;0,"below cost",""))))</f>
        <v/>
      </c>
    </row>
    <row r="52" customFormat="false" ht="15" hidden="false" customHeight="false" outlineLevel="0" collapsed="false">
      <c r="A52" s="9" t="s">
        <v>14</v>
      </c>
      <c r="B52" s="9" t="s">
        <v>209</v>
      </c>
      <c r="C52" s="9" t="s">
        <v>54</v>
      </c>
      <c r="D52" s="10" t="s">
        <v>55</v>
      </c>
      <c r="E52" s="10" t="s">
        <v>56</v>
      </c>
      <c r="F52" s="9" t="n">
        <f aca="false">IF(OR(D52="",E52=""),1,MAX(1,DATEVALUE(E52)-DATEVALUE(D52)))</f>
        <v>3</v>
      </c>
      <c r="G52" s="11" t="n">
        <v>19628</v>
      </c>
      <c r="H52" s="11" t="n">
        <v>20354</v>
      </c>
      <c r="I52" s="11"/>
      <c r="J52" s="11"/>
      <c r="K52" s="11"/>
      <c r="L52" s="12" t="n">
        <v>348.36</v>
      </c>
      <c r="M52" s="13" t="n">
        <v>0.28</v>
      </c>
      <c r="N52" s="14" t="n">
        <f aca="false">IF(G52="","",G52/F52)</f>
        <v>6542.66666666667</v>
      </c>
      <c r="O52" s="14" t="n">
        <f aca="false">IF(COUNT(H52:K52)=0,"",MIN(H52:K52)/F52)</f>
        <v>6784.66666666667</v>
      </c>
      <c r="P52" s="14" t="n">
        <f aca="false">IF(L52="","",L52*95/F52)</f>
        <v>11031.4</v>
      </c>
      <c r="Q52" s="15" t="n">
        <f aca="false">IF(OR(N52="",O52=""),"",(IF(AND(N52&gt;7500,O52&gt;7500),O52/(1+IF(O52&lt;=1000,0,IF(O52&lt;=7500,0.05,0.18)))-IF(AND(N52&gt;7500,O52&gt;7500),N52/1.18,N52),(O52-IF(AND(N52&gt;7500,O52&gt;7500),N52/1.18,N52))/(1+IF(O52&lt;=1000,0,IF(O52&lt;=7500,0.05,0.18)))))/(IF(AND(N52&gt;7500,O52&gt;7500),N52/1.18,N52)))</f>
        <v>0.0352266441526682</v>
      </c>
      <c r="R52" s="15" t="n">
        <f aca="false">IF(OR(N52="",O52=""),"",((O52-N52)/1.18)/N52)</f>
        <v>0.0313457426782217</v>
      </c>
      <c r="S52" s="15" t="n">
        <f aca="false">IF(OR(P52="",O52=""),"",(P52-O52)/O52)</f>
        <v>0.625931020929547</v>
      </c>
      <c r="T52" s="9" t="str">
        <f aca="false">IF(AND(D52="",G52&lt;&gt;""),"no dates - assumed 1 night",IF(Q52="","",IF(Q52&gt;1.5,"check: markup &gt;150%",IF(Q52&lt;0,"below cost",""))))</f>
        <v/>
      </c>
    </row>
    <row r="53" customFormat="false" ht="15" hidden="false" customHeight="false" outlineLevel="0" collapsed="false">
      <c r="A53" s="9" t="s">
        <v>14</v>
      </c>
      <c r="B53" s="9" t="s">
        <v>210</v>
      </c>
      <c r="C53" s="9" t="s">
        <v>41</v>
      </c>
      <c r="D53" s="10" t="s">
        <v>42</v>
      </c>
      <c r="E53" s="10" t="s">
        <v>43</v>
      </c>
      <c r="F53" s="9" t="n">
        <f aca="false">IF(OR(D53="",E53=""),1,MAX(1,DATEVALUE(E53)-DATEVALUE(D53)))</f>
        <v>3</v>
      </c>
      <c r="G53" s="11" t="n">
        <v>70972</v>
      </c>
      <c r="H53" s="11" t="n">
        <v>75225</v>
      </c>
      <c r="I53" s="11"/>
      <c r="J53" s="11"/>
      <c r="K53" s="11"/>
      <c r="L53" s="12" t="n">
        <v>786.17</v>
      </c>
      <c r="M53" s="13" t="n">
        <v>0.12</v>
      </c>
      <c r="N53" s="14" t="n">
        <f aca="false">IF(G53="","",G53/F53)</f>
        <v>23657.3333333333</v>
      </c>
      <c r="O53" s="14" t="n">
        <f aca="false">IF(COUNT(H53:K53)=0,"",MIN(H53:K53)/F53)</f>
        <v>25075</v>
      </c>
      <c r="P53" s="14" t="n">
        <f aca="false">IF(L53="","",L53*95/F53)</f>
        <v>24895.3833333333</v>
      </c>
      <c r="Q53" s="15" t="n">
        <f aca="false">IF(OR(N53="",O53=""),"",(IF(AND(N53&gt;7500,O53&gt;7500),O53/(1+IF(O53&lt;=1000,0,IF(O53&lt;=7500,0.05,0.18)))-IF(AND(N53&gt;7500,O53&gt;7500),N53/1.18,N53),(O53-IF(AND(N53&gt;7500,O53&gt;7500),N53/1.18,N53))/(1+IF(O53&lt;=1000,0,IF(O53&lt;=7500,0.05,0.18)))))/(IF(AND(N53&gt;7500,O53&gt;7500),N53/1.18,N53)))</f>
        <v>0.0599250408611847</v>
      </c>
      <c r="R53" s="15" t="n">
        <f aca="false">IF(OR(N53="",O53=""),"",((O53-N53)/1.18)/N53)</f>
        <v>0.0507839329332074</v>
      </c>
      <c r="S53" s="15" t="n">
        <f aca="false">IF(OR(P53="",O53=""),"",(P53-O53)/O53)</f>
        <v>-0.00716317713526096</v>
      </c>
      <c r="T53" s="9" t="str">
        <f aca="false">IF(AND(D53="",G53&lt;&gt;""),"no dates - assumed 1 night",IF(Q53="","",IF(Q53&gt;1.5,"check: markup &gt;150%",IF(Q53&lt;0,"below cost",""))))</f>
        <v/>
      </c>
    </row>
    <row r="54" customFormat="false" ht="15" hidden="false" customHeight="false" outlineLevel="0" collapsed="false">
      <c r="A54" s="9" t="s">
        <v>14</v>
      </c>
      <c r="B54" s="9" t="s">
        <v>210</v>
      </c>
      <c r="C54" s="9" t="s">
        <v>44</v>
      </c>
      <c r="D54" s="10" t="s">
        <v>45</v>
      </c>
      <c r="E54" s="10" t="s">
        <v>46</v>
      </c>
      <c r="F54" s="9" t="n">
        <f aca="false">IF(OR(D54="",E54=""),1,MAX(1,DATEVALUE(E54)-DATEVALUE(D54)))</f>
        <v>3</v>
      </c>
      <c r="G54" s="11" t="n">
        <v>60009</v>
      </c>
      <c r="H54" s="11" t="n">
        <v>64192</v>
      </c>
      <c r="I54" s="11"/>
      <c r="J54" s="11"/>
      <c r="K54" s="11"/>
      <c r="L54" s="12" t="n">
        <v>670.87</v>
      </c>
      <c r="M54" s="13" t="n">
        <v>0.12</v>
      </c>
      <c r="N54" s="14" t="n">
        <f aca="false">IF(G54="","",G54/F54)</f>
        <v>20003</v>
      </c>
      <c r="O54" s="14" t="n">
        <f aca="false">IF(COUNT(H54:K54)=0,"",MIN(H54:K54)/F54)</f>
        <v>21397.3333333333</v>
      </c>
      <c r="P54" s="14" t="n">
        <f aca="false">IF(L54="","",L54*95/F54)</f>
        <v>21244.2166666667</v>
      </c>
      <c r="Q54" s="15" t="n">
        <f aca="false">IF(OR(N54="",O54=""),"",(IF(AND(N54&gt;7500,O54&gt;7500),O54/(1+IF(O54&lt;=1000,0,IF(O54&lt;=7500,0.05,0.18)))-IF(AND(N54&gt;7500,O54&gt;7500),N54/1.18,N54),(O54-IF(AND(N54&gt;7500,O54&gt;7500),N54/1.18,N54))/(1+IF(O54&lt;=1000,0,IF(O54&lt;=7500,0.05,0.18)))))/(IF(AND(N54&gt;7500,O54&gt;7500),N54/1.18,N54)))</f>
        <v>0.0697062107350564</v>
      </c>
      <c r="R54" s="15" t="n">
        <f aca="false">IF(OR(N54="",O54=""),"",((O54-N54)/1.18)/N54)</f>
        <v>0.059073059944963</v>
      </c>
      <c r="S54" s="15" t="n">
        <f aca="false">IF(OR(P54="",O54=""),"",(P54-O54)/O54)</f>
        <v>-0.00715587612163502</v>
      </c>
      <c r="T54" s="9" t="str">
        <f aca="false">IF(AND(D54="",G54&lt;&gt;""),"no dates - assumed 1 night",IF(Q54="","",IF(Q54&gt;1.5,"check: markup &gt;150%",IF(Q54&lt;0,"below cost",""))))</f>
        <v/>
      </c>
    </row>
    <row r="55" customFormat="false" ht="15" hidden="false" customHeight="false" outlineLevel="0" collapsed="false">
      <c r="A55" s="9" t="s">
        <v>14</v>
      </c>
      <c r="B55" s="9" t="s">
        <v>210</v>
      </c>
      <c r="C55" s="9" t="s">
        <v>47</v>
      </c>
      <c r="D55" s="10" t="s">
        <v>48</v>
      </c>
      <c r="E55" s="10" t="s">
        <v>49</v>
      </c>
      <c r="F55" s="9" t="n">
        <f aca="false">IF(OR(D55="",E55=""),1,MAX(1,DATEVALUE(E55)-DATEVALUE(D55)))</f>
        <v>3</v>
      </c>
      <c r="G55" s="11" t="n">
        <v>76501</v>
      </c>
      <c r="H55" s="11" t="n">
        <v>91450</v>
      </c>
      <c r="I55" s="11"/>
      <c r="J55" s="11"/>
      <c r="K55" s="11"/>
      <c r="L55" s="12" t="n">
        <v>955.74</v>
      </c>
      <c r="M55" s="13" t="n">
        <v>0.12</v>
      </c>
      <c r="N55" s="14" t="n">
        <f aca="false">IF(G55="","",G55/F55)</f>
        <v>25500.3333333333</v>
      </c>
      <c r="O55" s="14" t="n">
        <f aca="false">IF(COUNT(H55:K55)=0,"",MIN(H55:K55)/F55)</f>
        <v>30483.3333333333</v>
      </c>
      <c r="P55" s="14" t="n">
        <f aca="false">IF(L55="","",L55*95/F55)</f>
        <v>30265.1</v>
      </c>
      <c r="Q55" s="15" t="n">
        <f aca="false">IF(OR(N55="",O55=""),"",(IF(AND(N55&gt;7500,O55&gt;7500),O55/(1+IF(O55&lt;=1000,0,IF(O55&lt;=7500,0.05,0.18)))-IF(AND(N55&gt;7500,O55&gt;7500),N55/1.18,N55),(O55-IF(AND(N55&gt;7500,O55&gt;7500),N55/1.18,N55))/(1+IF(O55&lt;=1000,0,IF(O55&lt;=7500,0.05,0.18)))))/(IF(AND(N55&gt;7500,O55&gt;7500),N55/1.18,N55)))</f>
        <v>0.19540921033712</v>
      </c>
      <c r="R55" s="15" t="n">
        <f aca="false">IF(OR(N55="",O55=""),"",((O55-N55)/1.18)/N55)</f>
        <v>0.165601025709424</v>
      </c>
      <c r="S55" s="15" t="n">
        <f aca="false">IF(OR(P55="",O55=""),"",(P55-O55)/O55)</f>
        <v>-0.00715910333515571</v>
      </c>
      <c r="T55" s="9" t="str">
        <f aca="false">IF(AND(D55="",G55&lt;&gt;""),"no dates - assumed 1 night",IF(Q55="","",IF(Q55&gt;1.5,"check: markup &gt;150%",IF(Q55&lt;0,"below cost",""))))</f>
        <v/>
      </c>
    </row>
    <row r="56" customFormat="false" ht="15" hidden="false" customHeight="false" outlineLevel="0" collapsed="false">
      <c r="A56" s="9" t="s">
        <v>14</v>
      </c>
      <c r="B56" s="9" t="s">
        <v>210</v>
      </c>
      <c r="C56" s="9" t="s">
        <v>54</v>
      </c>
      <c r="D56" s="10" t="s">
        <v>55</v>
      </c>
      <c r="E56" s="10" t="s">
        <v>56</v>
      </c>
      <c r="F56" s="9" t="n">
        <f aca="false">IF(OR(D56="",E56=""),1,MAX(1,DATEVALUE(E56)-DATEVALUE(D56)))</f>
        <v>3</v>
      </c>
      <c r="G56" s="11" t="n">
        <v>77652</v>
      </c>
      <c r="H56" s="11" t="n">
        <v>91450</v>
      </c>
      <c r="I56" s="11"/>
      <c r="J56" s="11"/>
      <c r="K56" s="11"/>
      <c r="L56" s="12" t="n">
        <v>955.74</v>
      </c>
      <c r="M56" s="13" t="n">
        <v>0.12</v>
      </c>
      <c r="N56" s="14" t="n">
        <f aca="false">IF(G56="","",G56/F56)</f>
        <v>25884</v>
      </c>
      <c r="O56" s="14" t="n">
        <f aca="false">IF(COUNT(H56:K56)=0,"",MIN(H56:K56)/F56)</f>
        <v>30483.3333333333</v>
      </c>
      <c r="P56" s="14" t="n">
        <f aca="false">IF(L56="","",L56*95/F56)</f>
        <v>30265.1</v>
      </c>
      <c r="Q56" s="15" t="n">
        <f aca="false">IF(OR(N56="",O56=""),"",(IF(AND(N56&gt;7500,O56&gt;7500),O56/(1+IF(O56&lt;=1000,0,IF(O56&lt;=7500,0.05,0.18)))-IF(AND(N56&gt;7500,O56&gt;7500),N56/1.18,N56),(O56-IF(AND(N56&gt;7500,O56&gt;7500),N56/1.18,N56))/(1+IF(O56&lt;=1000,0,IF(O56&lt;=7500,0.05,0.18)))))/(IF(AND(N56&gt;7500,O56&gt;7500),N56/1.18,N56)))</f>
        <v>0.17769020759285</v>
      </c>
      <c r="R56" s="15" t="n">
        <f aca="false">IF(OR(N56="",O56=""),"",((O56-N56)/1.18)/N56)</f>
        <v>0.150584921688856</v>
      </c>
      <c r="S56" s="15" t="n">
        <f aca="false">IF(OR(P56="",O56=""),"",(P56-O56)/O56)</f>
        <v>-0.00715910333515571</v>
      </c>
      <c r="T56" s="9" t="str">
        <f aca="false">IF(AND(D56="",G56&lt;&gt;""),"no dates - assumed 1 night",IF(Q56="","",IF(Q56&gt;1.5,"check: markup &gt;150%",IF(Q56&lt;0,"below cost",""))))</f>
        <v/>
      </c>
    </row>
    <row r="57" customFormat="false" ht="15" hidden="false" customHeight="false" outlineLevel="0" collapsed="false">
      <c r="A57" s="9" t="s">
        <v>14</v>
      </c>
      <c r="B57" s="9" t="s">
        <v>211</v>
      </c>
      <c r="C57" s="9" t="s">
        <v>41</v>
      </c>
      <c r="D57" s="10" t="s">
        <v>42</v>
      </c>
      <c r="E57" s="10" t="s">
        <v>43</v>
      </c>
      <c r="F57" s="9" t="n">
        <f aca="false">IF(OR(D57="",E57=""),1,MAX(1,DATEVALUE(E57)-DATEVALUE(D57)))</f>
        <v>3</v>
      </c>
      <c r="G57" s="11" t="n">
        <v>99856</v>
      </c>
      <c r="H57" s="11" t="n">
        <v>107970</v>
      </c>
      <c r="I57" s="11"/>
      <c r="J57" s="11"/>
      <c r="K57" s="11"/>
      <c r="L57" s="12" t="n">
        <v>1015.54</v>
      </c>
      <c r="M57" s="13" t="n">
        <v>0.12</v>
      </c>
      <c r="N57" s="14" t="n">
        <f aca="false">IF(G57="","",G57/F57)</f>
        <v>33285.3333333333</v>
      </c>
      <c r="O57" s="14" t="n">
        <f aca="false">IF(COUNT(H57:K57)=0,"",MIN(H57:K57)/F57)</f>
        <v>35990</v>
      </c>
      <c r="P57" s="14" t="n">
        <f aca="false">IF(L57="","",L57*95/F57)</f>
        <v>32158.7666666667</v>
      </c>
      <c r="Q57" s="15" t="n">
        <f aca="false">IF(OR(N57="",O57=""),"",(IF(AND(N57&gt;7500,O57&gt;7500),O57/(1+IF(O57&lt;=1000,0,IF(O57&lt;=7500,0.05,0.18)))-IF(AND(N57&gt;7500,O57&gt;7500),N57/1.18,N57),(O57-IF(AND(N57&gt;7500,O57&gt;7500),N57/1.18,N57))/(1+IF(O57&lt;=1000,0,IF(O57&lt;=7500,0.05,0.18)))))/(IF(AND(N57&gt;7500,O57&gt;7500),N57/1.18,N57)))</f>
        <v>0.081257010094536</v>
      </c>
      <c r="R57" s="15" t="n">
        <f aca="false">IF(OR(N57="",O57=""),"",((O57-N57)/1.18)/N57)</f>
        <v>0.0688618729614712</v>
      </c>
      <c r="S57" s="15" t="n">
        <f aca="false">IF(OR(P57="",O57=""),"",(P57-O57)/O57)</f>
        <v>-0.106452718347689</v>
      </c>
      <c r="T57" s="9" t="str">
        <f aca="false">IF(AND(D57="",G57&lt;&gt;""),"no dates - assumed 1 night",IF(Q57="","",IF(Q57&gt;1.5,"check: markup &gt;150%",IF(Q57&lt;0,"below cost",""))))</f>
        <v/>
      </c>
    </row>
    <row r="58" customFormat="false" ht="15" hidden="false" customHeight="false" outlineLevel="0" collapsed="false">
      <c r="A58" s="9" t="s">
        <v>14</v>
      </c>
      <c r="B58" s="9" t="s">
        <v>211</v>
      </c>
      <c r="C58" s="9" t="s">
        <v>44</v>
      </c>
      <c r="D58" s="10" t="s">
        <v>45</v>
      </c>
      <c r="E58" s="10" t="s">
        <v>46</v>
      </c>
      <c r="F58" s="9" t="n">
        <f aca="false">IF(OR(D58="",E58=""),1,MAX(1,DATEVALUE(E58)-DATEVALUE(D58)))</f>
        <v>3</v>
      </c>
      <c r="G58" s="11" t="n">
        <v>105435</v>
      </c>
      <c r="H58" s="11" t="n">
        <v>110330</v>
      </c>
      <c r="I58" s="11"/>
      <c r="J58" s="11"/>
      <c r="K58" s="11"/>
      <c r="L58" s="12" t="n">
        <v>1037.75</v>
      </c>
      <c r="M58" s="13" t="n">
        <v>0.12</v>
      </c>
      <c r="N58" s="14" t="n">
        <f aca="false">IF(G58="","",G58/F58)</f>
        <v>35145</v>
      </c>
      <c r="O58" s="14" t="n">
        <f aca="false">IF(COUNT(H58:K58)=0,"",MIN(H58:K58)/F58)</f>
        <v>36776.6666666667</v>
      </c>
      <c r="P58" s="14" t="n">
        <f aca="false">IF(L58="","",L58*95/F58)</f>
        <v>32862.0833333333</v>
      </c>
      <c r="Q58" s="15" t="n">
        <f aca="false">IF(OR(N58="",O58=""),"",(IF(AND(N58&gt;7500,O58&gt;7500),O58/(1+IF(O58&lt;=1000,0,IF(O58&lt;=7500,0.05,0.18)))-IF(AND(N58&gt;7500,O58&gt;7500),N58/1.18,N58),(O58-IF(AND(N58&gt;7500,O58&gt;7500),N58/1.18,N58))/(1+IF(O58&lt;=1000,0,IF(O58&lt;=7500,0.05,0.18)))))/(IF(AND(N58&gt;7500,O58&gt;7500),N58/1.18,N58)))</f>
        <v>0.0464267083985394</v>
      </c>
      <c r="R58" s="15" t="n">
        <f aca="false">IF(OR(N58="",O58=""),"",((O58-N58)/1.18)/N58)</f>
        <v>0.0393446681343554</v>
      </c>
      <c r="S58" s="15" t="n">
        <f aca="false">IF(OR(P58="",O58=""),"",(P58-O58)/O58)</f>
        <v>-0.106442037523792</v>
      </c>
      <c r="T58" s="9" t="str">
        <f aca="false">IF(AND(D58="",G58&lt;&gt;""),"no dates - assumed 1 night",IF(Q58="","",IF(Q58&gt;1.5,"check: markup &gt;150%",IF(Q58&lt;0,"below cost",""))))</f>
        <v/>
      </c>
    </row>
    <row r="59" customFormat="false" ht="15" hidden="false" customHeight="false" outlineLevel="0" collapsed="false">
      <c r="A59" s="9" t="s">
        <v>14</v>
      </c>
      <c r="B59" s="9" t="s">
        <v>211</v>
      </c>
      <c r="C59" s="9" t="s">
        <v>47</v>
      </c>
      <c r="D59" s="10" t="s">
        <v>48</v>
      </c>
      <c r="E59" s="10" t="s">
        <v>49</v>
      </c>
      <c r="F59" s="9" t="n">
        <f aca="false">IF(OR(D59="",E59=""),1,MAX(1,DATEVALUE(E59)-DATEVALUE(D59)))</f>
        <v>3</v>
      </c>
      <c r="G59" s="11" t="n">
        <v>109242</v>
      </c>
      <c r="H59" s="11" t="n">
        <v>121540</v>
      </c>
      <c r="I59" s="11"/>
      <c r="J59" s="11"/>
      <c r="K59" s="11"/>
      <c r="L59" s="12" t="n">
        <v>1043.31</v>
      </c>
      <c r="M59" s="13" t="n">
        <v>0.12</v>
      </c>
      <c r="N59" s="14" t="n">
        <f aca="false">IF(G59="","",G59/F59)</f>
        <v>36414</v>
      </c>
      <c r="O59" s="14" t="n">
        <f aca="false">IF(COUNT(H59:K59)=0,"",MIN(H59:K59)/F59)</f>
        <v>40513.3333333333</v>
      </c>
      <c r="P59" s="14" t="n">
        <f aca="false">IF(L59="","",L59*95/F59)</f>
        <v>33038.15</v>
      </c>
      <c r="Q59" s="15" t="n">
        <f aca="false">IF(OR(N59="",O59=""),"",(IF(AND(N59&gt;7500,O59&gt;7500),O59/(1+IF(O59&lt;=1000,0,IF(O59&lt;=7500,0.05,0.18)))-IF(AND(N59&gt;7500,O59&gt;7500),N59/1.18,N59),(O59-IF(AND(N59&gt;7500,O59&gt;7500),N59/1.18,N59))/(1+IF(O59&lt;=1000,0,IF(O59&lt;=7500,0.05,0.18)))))/(IF(AND(N59&gt;7500,O59&gt;7500),N59/1.18,N59)))</f>
        <v>0.11257574925395</v>
      </c>
      <c r="R59" s="15" t="n">
        <f aca="false">IF(OR(N59="",O59=""),"",((O59-N59)/1.18)/N59)</f>
        <v>0.095403177333856</v>
      </c>
      <c r="S59" s="15" t="n">
        <f aca="false">IF(OR(P59="",O59=""),"",(P59-O59)/O59)</f>
        <v>-0.184511683396413</v>
      </c>
      <c r="T59" s="9" t="str">
        <f aca="false">IF(AND(D59="",G59&lt;&gt;""),"no dates - assumed 1 night",IF(Q59="","",IF(Q59&gt;1.5,"check: markup &gt;150%",IF(Q59&lt;0,"below cost",""))))</f>
        <v/>
      </c>
    </row>
    <row r="60" customFormat="false" ht="15" hidden="false" customHeight="false" outlineLevel="0" collapsed="false">
      <c r="A60" s="9" t="s">
        <v>14</v>
      </c>
      <c r="B60" s="9" t="s">
        <v>211</v>
      </c>
      <c r="C60" s="9" t="s">
        <v>50</v>
      </c>
      <c r="D60" s="10" t="s">
        <v>51</v>
      </c>
      <c r="E60" s="10" t="s">
        <v>52</v>
      </c>
      <c r="F60" s="9" t="n">
        <f aca="false">IF(OR(D60="",E60=""),1,MAX(1,DATEVALUE(E60)-DATEVALUE(D60)))</f>
        <v>3</v>
      </c>
      <c r="G60" s="11" t="n">
        <v>110840</v>
      </c>
      <c r="H60" s="11" t="n">
        <v>145140</v>
      </c>
      <c r="I60" s="11"/>
      <c r="J60" s="11"/>
      <c r="K60" s="11"/>
      <c r="L60" s="12" t="n">
        <v>1231.98</v>
      </c>
      <c r="M60" s="13" t="n">
        <v>0.12</v>
      </c>
      <c r="N60" s="14" t="n">
        <f aca="false">IF(G60="","",G60/F60)</f>
        <v>36946.6666666667</v>
      </c>
      <c r="O60" s="14" t="n">
        <f aca="false">IF(COUNT(H60:K60)=0,"",MIN(H60:K60)/F60)</f>
        <v>48380</v>
      </c>
      <c r="P60" s="14" t="n">
        <f aca="false">IF(L60="","",L60*95/F60)</f>
        <v>39012.7</v>
      </c>
      <c r="Q60" s="15" t="n">
        <f aca="false">IF(OR(N60="",O60=""),"",(IF(AND(N60&gt;7500,O60&gt;7500),O60/(1+IF(O60&lt;=1000,0,IF(O60&lt;=7500,0.05,0.18)))-IF(AND(N60&gt;7500,O60&gt;7500),N60/1.18,N60),(O60-IF(AND(N60&gt;7500,O60&gt;7500),N60/1.18,N60))/(1+IF(O60&lt;=1000,0,IF(O60&lt;=7500,0.05,0.18)))))/(IF(AND(N60&gt;7500,O60&gt;7500),N60/1.18,N60)))</f>
        <v>0.309455070371707</v>
      </c>
      <c r="R60" s="15" t="n">
        <f aca="false">IF(OR(N60="",O60=""),"",((O60-N60)/1.18)/N60)</f>
        <v>0.26225005963704</v>
      </c>
      <c r="S60" s="15" t="n">
        <f aca="false">IF(OR(P60="",O60=""),"",(P60-O60)/O60)</f>
        <v>-0.193619264158743</v>
      </c>
      <c r="T60" s="9" t="str">
        <f aca="false">IF(AND(D60="",G60&lt;&gt;""),"no dates - assumed 1 night",IF(Q60="","",IF(Q60&gt;1.5,"check: markup &gt;150%",IF(Q60&lt;0,"below cost",""))))</f>
        <v/>
      </c>
    </row>
    <row r="61" customFormat="false" ht="15" hidden="false" customHeight="false" outlineLevel="0" collapsed="false">
      <c r="A61" s="9" t="s">
        <v>14</v>
      </c>
      <c r="B61" s="9" t="s">
        <v>211</v>
      </c>
      <c r="C61" s="9" t="s">
        <v>54</v>
      </c>
      <c r="D61" s="10" t="s">
        <v>55</v>
      </c>
      <c r="E61" s="10" t="s">
        <v>56</v>
      </c>
      <c r="F61" s="9" t="n">
        <f aca="false">IF(OR(D61="",E61=""),1,MAX(1,DATEVALUE(E61)-DATEVALUE(D61)))</f>
        <v>3</v>
      </c>
      <c r="G61" s="11" t="n">
        <v>109357</v>
      </c>
      <c r="H61" s="11" t="n">
        <v>110920</v>
      </c>
      <c r="I61" s="11"/>
      <c r="J61" s="11"/>
      <c r="K61" s="11"/>
      <c r="L61" s="12" t="n">
        <v>1043.29</v>
      </c>
      <c r="M61" s="13" t="n">
        <v>0.12</v>
      </c>
      <c r="N61" s="14" t="n">
        <f aca="false">IF(G61="","",G61/F61)</f>
        <v>36452.3333333333</v>
      </c>
      <c r="O61" s="14" t="n">
        <f aca="false">IF(COUNT(H61:K61)=0,"",MIN(H61:K61)/F61)</f>
        <v>36973.3333333333</v>
      </c>
      <c r="P61" s="14" t="n">
        <f aca="false">IF(L61="","",L61*95/F61)</f>
        <v>33037.5166666667</v>
      </c>
      <c r="Q61" s="15" t="n">
        <f aca="false">IF(OR(N61="",O61=""),"",(IF(AND(N61&gt;7500,O61&gt;7500),O61/(1+IF(O61&lt;=1000,0,IF(O61&lt;=7500,0.05,0.18)))-IF(AND(N61&gt;7500,O61&gt;7500),N61/1.18,N61),(O61-IF(AND(N61&gt;7500,O61&gt;7500),N61/1.18,N61))/(1+IF(O61&lt;=1000,0,IF(O61&lt;=7500,0.05,0.18)))))/(IF(AND(N61&gt;7500,O61&gt;7500),N61/1.18,N61)))</f>
        <v>0.0142926378741187</v>
      </c>
      <c r="R61" s="15" t="n">
        <f aca="false">IF(OR(N61="",O61=""),"",((O61-N61)/1.18)/N61)</f>
        <v>0.0121124049780667</v>
      </c>
      <c r="S61" s="15" t="n">
        <f aca="false">IF(OR(P61="",O61=""),"",(P61-O61)/O61)</f>
        <v>-0.106450144248107</v>
      </c>
      <c r="T61" s="9" t="str">
        <f aca="false">IF(AND(D61="",G61&lt;&gt;""),"no dates - assumed 1 night",IF(Q61="","",IF(Q61&gt;1.5,"check: markup &gt;150%",IF(Q61&lt;0,"below cost",""))))</f>
        <v/>
      </c>
    </row>
    <row r="62" customFormat="false" ht="15" hidden="false" customHeight="false" outlineLevel="0" collapsed="false">
      <c r="A62" s="9" t="s">
        <v>14</v>
      </c>
      <c r="B62" s="9" t="s">
        <v>212</v>
      </c>
      <c r="C62" s="9" t="s">
        <v>44</v>
      </c>
      <c r="D62" s="10" t="s">
        <v>42</v>
      </c>
      <c r="E62" s="10" t="s">
        <v>43</v>
      </c>
      <c r="F62" s="9" t="n">
        <f aca="false">IF(OR(D62="",E62=""),1,MAX(1,DATEVALUE(E62)-DATEVALUE(D62)))</f>
        <v>3</v>
      </c>
      <c r="G62" s="11" t="n">
        <v>9846</v>
      </c>
      <c r="H62" s="11" t="n">
        <v>31516</v>
      </c>
      <c r="I62" s="11"/>
      <c r="J62" s="11"/>
      <c r="K62" s="11"/>
      <c r="L62" s="12" t="n">
        <v>293.28</v>
      </c>
      <c r="M62" s="13" t="n">
        <v>0.18</v>
      </c>
      <c r="N62" s="14" t="n">
        <f aca="false">IF(G62="","",G62/F62)</f>
        <v>3282</v>
      </c>
      <c r="O62" s="14" t="n">
        <f aca="false">IF(COUNT(H62:K62)=0,"",MIN(H62:K62)/F62)</f>
        <v>10505.3333333333</v>
      </c>
      <c r="P62" s="14" t="n">
        <f aca="false">IF(L62="","",L62*95/F62)</f>
        <v>9287.2</v>
      </c>
      <c r="Q62" s="15" t="n">
        <f aca="false">IF(OR(N62="",O62=""),"",(IF(AND(N62&gt;7500,O62&gt;7500),O62/(1+IF(O62&lt;=1000,0,IF(O62&lt;=7500,0.05,0.18)))-IF(AND(N62&gt;7500,O62&gt;7500),N62/1.18,N62),(O62-IF(AND(N62&gt;7500,O62&gt;7500),N62/1.18,N62))/(1+IF(O62&lt;=1000,0,IF(O62&lt;=7500,0.05,0.18)))))/(IF(AND(N62&gt;7500,O62&gt;7500),N62/1.18,N62)))</f>
        <v>1.86516420675005</v>
      </c>
      <c r="R62" s="15" t="n">
        <f aca="false">IF(OR(N62="",O62=""),"",((O62-N62)/1.18)/N62)</f>
        <v>1.86516420675005</v>
      </c>
      <c r="S62" s="15" t="n">
        <f aca="false">IF(OR(P62="",O62=""),"",(P62-O62)/O62)</f>
        <v>-0.115953801243813</v>
      </c>
      <c r="T62" s="9" t="str">
        <f aca="false">IF(AND(D62="",G62&lt;&gt;""),"no dates - assumed 1 night",IF(Q62="","",IF(Q62&gt;1.5,"check: markup &gt;150%",IF(Q62&lt;0,"below cost",""))))</f>
        <v>check: markup &gt;150%</v>
      </c>
    </row>
    <row r="63" customFormat="false" ht="15" hidden="false" customHeight="false" outlineLevel="0" collapsed="false">
      <c r="A63" s="9" t="s">
        <v>14</v>
      </c>
      <c r="B63" s="9" t="s">
        <v>212</v>
      </c>
      <c r="C63" s="9" t="s">
        <v>47</v>
      </c>
      <c r="D63" s="10" t="s">
        <v>48</v>
      </c>
      <c r="E63" s="10" t="s">
        <v>49</v>
      </c>
      <c r="F63" s="9" t="n">
        <f aca="false">IF(OR(D63="",E63=""),1,MAX(1,DATEVALUE(E63)-DATEVALUE(D63)))</f>
        <v>3</v>
      </c>
      <c r="G63" s="11" t="n">
        <v>27373</v>
      </c>
      <c r="H63" s="11" t="n">
        <v>31516</v>
      </c>
      <c r="I63" s="11"/>
      <c r="J63" s="11"/>
      <c r="K63" s="11"/>
      <c r="L63" s="12" t="n">
        <v>293.28</v>
      </c>
      <c r="M63" s="13" t="n">
        <v>0.12</v>
      </c>
      <c r="N63" s="14" t="n">
        <f aca="false">IF(G63="","",G63/F63)</f>
        <v>9124.33333333333</v>
      </c>
      <c r="O63" s="14" t="n">
        <f aca="false">IF(COUNT(H63:K63)=0,"",MIN(H63:K63)/F63)</f>
        <v>10505.3333333333</v>
      </c>
      <c r="P63" s="14" t="n">
        <f aca="false">IF(L63="","",L63*95/F63)</f>
        <v>9287.2</v>
      </c>
      <c r="Q63" s="15" t="n">
        <f aca="false">IF(OR(N63="",O63=""),"",(IF(AND(N63&gt;7500,O63&gt;7500),O63/(1+IF(O63&lt;=1000,0,IF(O63&lt;=7500,0.05,0.18)))-IF(AND(N63&gt;7500,O63&gt;7500),N63/1.18,N63),(O63-IF(AND(N63&gt;7500,O63&gt;7500),N63/1.18,N63))/(1+IF(O63&lt;=1000,0,IF(O63&lt;=7500,0.05,0.18)))))/(IF(AND(N63&gt;7500,O63&gt;7500),N63/1.18,N63)))</f>
        <v>0.151353523545099</v>
      </c>
      <c r="R63" s="15" t="n">
        <f aca="false">IF(OR(N63="",O63=""),"",((O63-N63)/1.18)/N63)</f>
        <v>0.128265697919576</v>
      </c>
      <c r="S63" s="15" t="n">
        <f aca="false">IF(OR(P63="",O63=""),"",(P63-O63)/O63)</f>
        <v>-0.115953801243813</v>
      </c>
      <c r="T63" s="9" t="str">
        <f aca="false">IF(AND(D63="",G63&lt;&gt;""),"no dates - assumed 1 night",IF(Q63="","",IF(Q63&gt;1.5,"check: markup &gt;150%",IF(Q63&lt;0,"below cost",""))))</f>
        <v/>
      </c>
    </row>
    <row r="64" customFormat="false" ht="15" hidden="false" customHeight="false" outlineLevel="0" collapsed="false">
      <c r="A64" s="9" t="s">
        <v>14</v>
      </c>
      <c r="B64" s="9" t="s">
        <v>212</v>
      </c>
      <c r="C64" s="9" t="s">
        <v>50</v>
      </c>
      <c r="D64" s="10" t="s">
        <v>170</v>
      </c>
      <c r="E64" s="10" t="s">
        <v>171</v>
      </c>
      <c r="F64" s="9" t="n">
        <f aca="false">IF(OR(D64="",E64=""),1,MAX(1,DATEVALUE(E64)-DATEVALUE(D64)))</f>
        <v>3</v>
      </c>
      <c r="G64" s="11" t="n">
        <v>27373</v>
      </c>
      <c r="H64" s="11" t="n">
        <v>31516</v>
      </c>
      <c r="I64" s="11"/>
      <c r="J64" s="11"/>
      <c r="K64" s="11"/>
      <c r="L64" s="12" t="n">
        <v>298.98</v>
      </c>
      <c r="M64" s="13" t="n">
        <v>0.11</v>
      </c>
      <c r="N64" s="14" t="n">
        <f aca="false">IF(G64="","",G64/F64)</f>
        <v>9124.33333333333</v>
      </c>
      <c r="O64" s="14" t="n">
        <f aca="false">IF(COUNT(H64:K64)=0,"",MIN(H64:K64)/F64)</f>
        <v>10505.3333333333</v>
      </c>
      <c r="P64" s="14" t="n">
        <f aca="false">IF(L64="","",L64*95/F64)</f>
        <v>9467.7</v>
      </c>
      <c r="Q64" s="15" t="n">
        <f aca="false">IF(OR(N64="",O64=""),"",(IF(AND(N64&gt;7500,O64&gt;7500),O64/(1+IF(O64&lt;=1000,0,IF(O64&lt;=7500,0.05,0.18)))-IF(AND(N64&gt;7500,O64&gt;7500),N64/1.18,N64),(O64-IF(AND(N64&gt;7500,O64&gt;7500),N64/1.18,N64))/(1+IF(O64&lt;=1000,0,IF(O64&lt;=7500,0.05,0.18)))))/(IF(AND(N64&gt;7500,O64&gt;7500),N64/1.18,N64)))</f>
        <v>0.151353523545099</v>
      </c>
      <c r="R64" s="15" t="n">
        <f aca="false">IF(OR(N64="",O64=""),"",((O64-N64)/1.18)/N64)</f>
        <v>0.128265697919576</v>
      </c>
      <c r="S64" s="15" t="n">
        <f aca="false">IF(OR(P64="",O64=""),"",(P64-O64)/O64)</f>
        <v>-0.0987720522908998</v>
      </c>
      <c r="T64" s="9" t="str">
        <f aca="false">IF(AND(D64="",G64&lt;&gt;""),"no dates - assumed 1 night",IF(Q64="","",IF(Q64&gt;1.5,"check: markup &gt;150%",IF(Q64&lt;0,"below cost",""))))</f>
        <v/>
      </c>
    </row>
    <row r="66" customFormat="false" ht="15" hidden="false" customHeight="false" outlineLevel="0" collapsed="false">
      <c r="A66" s="2" t="s">
        <v>86</v>
      </c>
    </row>
  </sheetData>
  <autoFilter ref="A1:T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11" min="7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9" min="17" style="0" width="10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8" t="s">
        <v>2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2" customFormat="false" ht="15" hidden="false" customHeight="false" outlineLevel="0" collapsed="false">
      <c r="A2" s="9" t="s">
        <v>15</v>
      </c>
      <c r="B2" s="9" t="s">
        <v>213</v>
      </c>
      <c r="C2" s="9" t="s">
        <v>41</v>
      </c>
      <c r="D2" s="16"/>
      <c r="E2" s="16"/>
      <c r="F2" s="9" t="n">
        <f aca="false">IF(OR(D2="",E2=""),1,MAX(1,DATEVALUE(E2)-DATEVALUE(D2)))</f>
        <v>1</v>
      </c>
      <c r="G2" s="11" t="n">
        <v>41788</v>
      </c>
      <c r="H2" s="11" t="n">
        <v>43141</v>
      </c>
      <c r="I2" s="11"/>
      <c r="J2" s="11"/>
      <c r="K2" s="11"/>
      <c r="L2" s="12" t="n">
        <v>442.27</v>
      </c>
      <c r="M2" s="13" t="n">
        <v>0.07</v>
      </c>
      <c r="N2" s="14" t="n">
        <f aca="false">IF(G2="","",G2/F2)</f>
        <v>41788</v>
      </c>
      <c r="O2" s="14" t="n">
        <f aca="false">IF(COUNT(H2:K2)=0,"",MIN(H2:K2)/F2)</f>
        <v>43141</v>
      </c>
      <c r="P2" s="14" t="n">
        <f aca="false">IF(L2="","",L2*95/F2)</f>
        <v>42015.65</v>
      </c>
      <c r="Q2" s="15" t="n">
        <f aca="false">IF(OR(N2="",O2=""),"",(IF(AND(N2&gt;7500,O2&gt;7500),O2/(1+IF(O2&lt;=1000,0,IF(O2&lt;=7500,0.05,0.18)))-IF(AND(N2&gt;7500,O2&gt;7500),N2/1.18,N2),(O2-IF(AND(N2&gt;7500,O2&gt;7500),N2/1.18,N2))/(1+IF(O2&lt;=1000,0,IF(O2&lt;=7500,0.05,0.18)))))/(IF(AND(N2&gt;7500,O2&gt;7500),N2/1.18,N2)))</f>
        <v>0.0323777160907438</v>
      </c>
      <c r="R2" s="15" t="n">
        <f aca="false">IF(OR(N2="",O2=""),"",((O2-N2)/1.18)/N2)</f>
        <v>0.0274387424497828</v>
      </c>
      <c r="S2" s="15" t="n">
        <f aca="false">IF(OR(P2="",O2=""),"",(P2-O2)/O2)</f>
        <v>-0.0260853944043949</v>
      </c>
      <c r="T2" s="9" t="str">
        <f aca="false">IF(AND(D2="",G2&lt;&gt;""),"no dates - assumed 1 night",IF(Q2="","",IF(Q2&gt;1.5,"check: markup &gt;150%",IF(Q2&lt;0,"below cost",""))))</f>
        <v>no dates - assumed 1 night</v>
      </c>
    </row>
    <row r="3" customFormat="false" ht="15" hidden="false" customHeight="false" outlineLevel="0" collapsed="false">
      <c r="A3" s="9" t="s">
        <v>15</v>
      </c>
      <c r="B3" s="9" t="s">
        <v>213</v>
      </c>
      <c r="C3" s="9" t="s">
        <v>44</v>
      </c>
      <c r="D3" s="16"/>
      <c r="E3" s="16"/>
      <c r="F3" s="9" t="n">
        <f aca="false">IF(OR(D3="",E3=""),1,MAX(1,DATEVALUE(E3)-DATEVALUE(D3)))</f>
        <v>1</v>
      </c>
      <c r="G3" s="11" t="n">
        <v>46285</v>
      </c>
      <c r="H3" s="11" t="n">
        <v>47787</v>
      </c>
      <c r="I3" s="11"/>
      <c r="J3" s="11"/>
      <c r="K3" s="11"/>
      <c r="L3" s="12" t="n">
        <v>507.98</v>
      </c>
      <c r="M3" s="13" t="n">
        <v>0.07</v>
      </c>
      <c r="N3" s="14" t="n">
        <f aca="false">IF(G3="","",G3/F3)</f>
        <v>46285</v>
      </c>
      <c r="O3" s="14" t="n">
        <f aca="false">IF(COUNT(H3:K3)=0,"",MIN(H3:K3)/F3)</f>
        <v>47787</v>
      </c>
      <c r="P3" s="14" t="n">
        <f aca="false">IF(L3="","",L3*95/F3)</f>
        <v>48258.1</v>
      </c>
      <c r="Q3" s="15" t="n">
        <f aca="false">IF(OR(N3="",O3=""),"",(IF(AND(N3&gt;7500,O3&gt;7500),O3/(1+IF(O3&lt;=1000,0,IF(O3&lt;=7500,0.05,0.18)))-IF(AND(N3&gt;7500,O3&gt;7500),N3/1.18,N3),(O3-IF(AND(N3&gt;7500,O3&gt;7500),N3/1.18,N3))/(1+IF(O3&lt;=1000,0,IF(O3&lt;=7500,0.05,0.18)))))/(IF(AND(N3&gt;7500,O3&gt;7500),N3/1.18,N3)))</f>
        <v>0.0324511180728097</v>
      </c>
      <c r="R3" s="15" t="n">
        <f aca="false">IF(OR(N3="",O3=""),"",((O3-N3)/1.18)/N3)</f>
        <v>0.0275009475193303</v>
      </c>
      <c r="S3" s="15" t="n">
        <f aca="false">IF(OR(P3="",O3=""),"",(P3-O3)/O3)</f>
        <v>0.00985832967124947</v>
      </c>
      <c r="T3" s="9" t="str">
        <f aca="false">IF(AND(D3="",G3&lt;&gt;""),"no dates - assumed 1 night",IF(Q3="","",IF(Q3&gt;1.5,"check: markup &gt;150%",IF(Q3&lt;0,"below cost",""))))</f>
        <v>no dates - assumed 1 night</v>
      </c>
    </row>
    <row r="4" customFormat="false" ht="15" hidden="false" customHeight="false" outlineLevel="0" collapsed="false">
      <c r="A4" s="9" t="s">
        <v>15</v>
      </c>
      <c r="B4" s="9" t="s">
        <v>213</v>
      </c>
      <c r="C4" s="9" t="s">
        <v>47</v>
      </c>
      <c r="D4" s="16"/>
      <c r="E4" s="16"/>
      <c r="F4" s="9" t="n">
        <f aca="false">IF(OR(D4="",E4=""),1,MAX(1,DATEVALUE(E4)-DATEVALUE(D4)))</f>
        <v>1</v>
      </c>
      <c r="G4" s="11" t="n">
        <v>110275</v>
      </c>
      <c r="H4" s="11" t="n">
        <v>116980</v>
      </c>
      <c r="I4" s="11"/>
      <c r="J4" s="11"/>
      <c r="K4" s="11"/>
      <c r="L4" s="12" t="n">
        <v>1065.12</v>
      </c>
      <c r="M4" s="13" t="n">
        <v>0.12</v>
      </c>
      <c r="N4" s="14" t="n">
        <f aca="false">IF(G4="","",G4/F4)</f>
        <v>110275</v>
      </c>
      <c r="O4" s="14" t="n">
        <f aca="false">IF(COUNT(H4:K4)=0,"",MIN(H4:K4)/F4)</f>
        <v>116980</v>
      </c>
      <c r="P4" s="14" t="n">
        <f aca="false">IF(L4="","",L4*95/F4)</f>
        <v>101186.4</v>
      </c>
      <c r="Q4" s="15" t="n">
        <f aca="false">IF(OR(N4="",O4=""),"",(IF(AND(N4&gt;7500,O4&gt;7500),O4/(1+IF(O4&lt;=1000,0,IF(O4&lt;=7500,0.05,0.18)))-IF(AND(N4&gt;7500,O4&gt;7500),N4/1.18,N4),(O4-IF(AND(N4&gt;7500,O4&gt;7500),N4/1.18,N4))/(1+IF(O4&lt;=1000,0,IF(O4&lt;=7500,0.05,0.18)))))/(IF(AND(N4&gt;7500,O4&gt;7500),N4/1.18,N4)))</f>
        <v>0.0608025391067785</v>
      </c>
      <c r="R4" s="15" t="n">
        <f aca="false">IF(OR(N4="",O4=""),"",((O4-N4)/1.18)/N4)</f>
        <v>0.0515275755142191</v>
      </c>
      <c r="S4" s="15" t="n">
        <f aca="false">IF(OR(P4="",O4=""),"",(P4-O4)/O4)</f>
        <v>-0.135011113010771</v>
      </c>
      <c r="T4" s="9" t="str">
        <f aca="false">IF(AND(D4="",G4&lt;&gt;""),"no dates - assumed 1 night",IF(Q4="","",IF(Q4&gt;1.5,"check: markup &gt;150%",IF(Q4&lt;0,"below cost",""))))</f>
        <v>no dates - assumed 1 night</v>
      </c>
    </row>
    <row r="5" customFormat="false" ht="15" hidden="false" customHeight="false" outlineLevel="0" collapsed="false">
      <c r="A5" s="9" t="s">
        <v>15</v>
      </c>
      <c r="B5" s="9" t="s">
        <v>213</v>
      </c>
      <c r="C5" s="9" t="s">
        <v>54</v>
      </c>
      <c r="D5" s="16"/>
      <c r="E5" s="16"/>
      <c r="F5" s="9" t="n">
        <f aca="false">IF(OR(D5="",E5=""),1,MAX(1,DATEVALUE(E5)-DATEVALUE(D5)))</f>
        <v>1</v>
      </c>
      <c r="G5" s="11" t="n">
        <v>107984</v>
      </c>
      <c r="H5" s="11" t="n">
        <v>108483</v>
      </c>
      <c r="I5" s="11"/>
      <c r="J5" s="11"/>
      <c r="K5" s="11"/>
      <c r="L5" s="12" t="n">
        <v>987.78</v>
      </c>
      <c r="M5" s="13" t="n">
        <v>0.12</v>
      </c>
      <c r="N5" s="14" t="n">
        <f aca="false">IF(G5="","",G5/F5)</f>
        <v>107984</v>
      </c>
      <c r="O5" s="14" t="n">
        <f aca="false">IF(COUNT(H5:K5)=0,"",MIN(H5:K5)/F5)</f>
        <v>108483</v>
      </c>
      <c r="P5" s="14" t="n">
        <f aca="false">IF(L5="","",L5*95/F5)</f>
        <v>93839.1</v>
      </c>
      <c r="Q5" s="15" t="n">
        <f aca="false">IF(OR(N5="",O5=""),"",(IF(AND(N5&gt;7500,O5&gt;7500),O5/(1+IF(O5&lt;=1000,0,IF(O5&lt;=7500,0.05,0.18)))-IF(AND(N5&gt;7500,O5&gt;7500),N5/1.18,N5),(O5-IF(AND(N5&gt;7500,O5&gt;7500),N5/1.18,N5))/(1+IF(O5&lt;=1000,0,IF(O5&lt;=7500,0.05,0.18)))))/(IF(AND(N5&gt;7500,O5&gt;7500),N5/1.18,N5)))</f>
        <v>0.0046210549711068</v>
      </c>
      <c r="R5" s="15" t="n">
        <f aca="false">IF(OR(N5="",O5=""),"",((O5-N5)/1.18)/N5)</f>
        <v>0.00391614828059901</v>
      </c>
      <c r="S5" s="15" t="n">
        <f aca="false">IF(OR(P5="",O5=""),"",(P5-O5)/O5)</f>
        <v>-0.134987970465419</v>
      </c>
      <c r="T5" s="9" t="str">
        <f aca="false">IF(AND(D5="",G5&lt;&gt;""),"no dates - assumed 1 night",IF(Q5="","",IF(Q5&gt;1.5,"check: markup &gt;150%",IF(Q5&lt;0,"below cost",""))))</f>
        <v>no dates - assumed 1 night</v>
      </c>
    </row>
    <row r="6" customFormat="false" ht="15" hidden="false" customHeight="false" outlineLevel="0" collapsed="false">
      <c r="A6" s="9" t="s">
        <v>15</v>
      </c>
      <c r="B6" s="9" t="s">
        <v>214</v>
      </c>
      <c r="C6" s="9" t="s">
        <v>41</v>
      </c>
      <c r="D6" s="16"/>
      <c r="E6" s="16"/>
      <c r="F6" s="9" t="n">
        <f aca="false">IF(OR(D6="",E6=""),1,MAX(1,DATEVALUE(E6)-DATEVALUE(D6)))</f>
        <v>1</v>
      </c>
      <c r="G6" s="11" t="n">
        <v>12744</v>
      </c>
      <c r="H6" s="11" t="n">
        <v>13466</v>
      </c>
      <c r="I6" s="11"/>
      <c r="J6" s="11"/>
      <c r="K6" s="11"/>
      <c r="L6" s="12" t="n">
        <v>133.71</v>
      </c>
      <c r="M6" s="13" t="n">
        <v>0.12</v>
      </c>
      <c r="N6" s="14" t="n">
        <f aca="false">IF(G6="","",G6/F6)</f>
        <v>12744</v>
      </c>
      <c r="O6" s="14" t="n">
        <f aca="false">IF(COUNT(H6:K6)=0,"",MIN(H6:K6)/F6)</f>
        <v>13466</v>
      </c>
      <c r="P6" s="14" t="n">
        <f aca="false">IF(L6="","",L6*95/F6)</f>
        <v>12702.45</v>
      </c>
      <c r="Q6" s="15" t="n">
        <f aca="false">IF(OR(N6="",O6=""),"",(IF(AND(N6&gt;7500,O6&gt;7500),O6/(1+IF(O6&lt;=1000,0,IF(O6&lt;=7500,0.05,0.18)))-IF(AND(N6&gt;7500,O6&gt;7500),N6/1.18,N6),(O6-IF(AND(N6&gt;7500,O6&gt;7500),N6/1.18,N6))/(1+IF(O6&lt;=1000,0,IF(O6&lt;=7500,0.05,0.18)))))/(IF(AND(N6&gt;7500,O6&gt;7500),N6/1.18,N6)))</f>
        <v>0.0566541117388575</v>
      </c>
      <c r="R6" s="15" t="n">
        <f aca="false">IF(OR(N6="",O6=""),"",((O6-N6)/1.18)/N6)</f>
        <v>0.0480119591007267</v>
      </c>
      <c r="S6" s="15" t="n">
        <f aca="false">IF(OR(P6="",O6=""),"",(P6-O6)/O6)</f>
        <v>-0.0567020644586365</v>
      </c>
      <c r="T6" s="9" t="str">
        <f aca="false">IF(AND(D6="",G6&lt;&gt;""),"no dates - assumed 1 night",IF(Q6="","",IF(Q6&gt;1.5,"check: markup &gt;150%",IF(Q6&lt;0,"below cost",""))))</f>
        <v>no dates - assumed 1 night</v>
      </c>
    </row>
    <row r="7" customFormat="false" ht="15" hidden="false" customHeight="false" outlineLevel="0" collapsed="false">
      <c r="A7" s="9" t="s">
        <v>15</v>
      </c>
      <c r="B7" s="9" t="s">
        <v>214</v>
      </c>
      <c r="C7" s="9" t="s">
        <v>44</v>
      </c>
      <c r="D7" s="16"/>
      <c r="E7" s="16"/>
      <c r="F7" s="9" t="n">
        <f aca="false">IF(OR(D7="",E7=""),1,MAX(1,DATEVALUE(E7)-DATEVALUE(D7)))</f>
        <v>1</v>
      </c>
      <c r="G7" s="11" t="n">
        <v>14589</v>
      </c>
      <c r="H7" s="11" t="n">
        <v>15461</v>
      </c>
      <c r="I7" s="11"/>
      <c r="J7" s="11"/>
      <c r="K7" s="11"/>
      <c r="L7" s="12" t="n">
        <v>133.71</v>
      </c>
      <c r="M7" s="13" t="n">
        <v>0.12</v>
      </c>
      <c r="N7" s="14" t="n">
        <f aca="false">IF(G7="","",G7/F7)</f>
        <v>14589</v>
      </c>
      <c r="O7" s="14" t="n">
        <f aca="false">IF(COUNT(H7:K7)=0,"",MIN(H7:K7)/F7)</f>
        <v>15461</v>
      </c>
      <c r="P7" s="14" t="n">
        <f aca="false">IF(L7="","",L7*95/F7)</f>
        <v>12702.45</v>
      </c>
      <c r="Q7" s="15" t="n">
        <f aca="false">IF(OR(N7="",O7=""),"",(IF(AND(N7&gt;7500,O7&gt;7500),O7/(1+IF(O7&lt;=1000,0,IF(O7&lt;=7500,0.05,0.18)))-IF(AND(N7&gt;7500,O7&gt;7500),N7/1.18,N7),(O7-IF(AND(N7&gt;7500,O7&gt;7500),N7/1.18,N7))/(1+IF(O7&lt;=1000,0,IF(O7&lt;=7500,0.05,0.18)))))/(IF(AND(N7&gt;7500,O7&gt;7500),N7/1.18,N7)))</f>
        <v>0.0597710603879635</v>
      </c>
      <c r="R7" s="15" t="n">
        <f aca="false">IF(OR(N7="",O7=""),"",((O7-N7)/1.18)/N7)</f>
        <v>0.0506534410067488</v>
      </c>
      <c r="S7" s="15" t="n">
        <f aca="false">IF(OR(P7="",O7=""),"",(P7-O7)/O7)</f>
        <v>-0.178419895220232</v>
      </c>
      <c r="T7" s="9" t="str">
        <f aca="false">IF(AND(D7="",G7&lt;&gt;""),"no dates - assumed 1 night",IF(Q7="","",IF(Q7&gt;1.5,"check: markup &gt;150%",IF(Q7&lt;0,"below cost",""))))</f>
        <v>no dates - assumed 1 night</v>
      </c>
    </row>
    <row r="8" customFormat="false" ht="15" hidden="false" customHeight="false" outlineLevel="0" collapsed="false">
      <c r="A8" s="9" t="s">
        <v>15</v>
      </c>
      <c r="B8" s="9" t="s">
        <v>214</v>
      </c>
      <c r="C8" s="9" t="s">
        <v>47</v>
      </c>
      <c r="D8" s="16"/>
      <c r="E8" s="16"/>
      <c r="F8" s="9" t="n">
        <f aca="false">IF(OR(D8="",E8=""),1,MAX(1,DATEVALUE(E8)-DATEVALUE(D8)))</f>
        <v>1</v>
      </c>
      <c r="G8" s="11" t="n">
        <v>29735</v>
      </c>
      <c r="H8" s="11" t="n">
        <v>31949</v>
      </c>
      <c r="I8" s="11"/>
      <c r="J8" s="11"/>
      <c r="K8" s="11"/>
      <c r="L8" s="12" t="n">
        <v>317.29</v>
      </c>
      <c r="M8" s="13" t="n">
        <v>0.12</v>
      </c>
      <c r="N8" s="14" t="n">
        <f aca="false">IF(G8="","",G8/F8)</f>
        <v>29735</v>
      </c>
      <c r="O8" s="14" t="n">
        <f aca="false">IF(COUNT(H8:K8)=0,"",MIN(H8:K8)/F8)</f>
        <v>31949</v>
      </c>
      <c r="P8" s="14" t="n">
        <f aca="false">IF(L8="","",L8*95/F8)</f>
        <v>30142.55</v>
      </c>
      <c r="Q8" s="15" t="n">
        <f aca="false">IF(OR(N8="",O8=""),"",(IF(AND(N8&gt;7500,O8&gt;7500),O8/(1+IF(O8&lt;=1000,0,IF(O8&lt;=7500,0.05,0.18)))-IF(AND(N8&gt;7500,O8&gt;7500),N8/1.18,N8),(O8-IF(AND(N8&gt;7500,O8&gt;7500),N8/1.18,N8))/(1+IF(O8&lt;=1000,0,IF(O8&lt;=7500,0.05,0.18)))))/(IF(AND(N8&gt;7500,O8&gt;7500),N8/1.18,N8)))</f>
        <v>0.0744577097696317</v>
      </c>
      <c r="R8" s="15" t="n">
        <f aca="false">IF(OR(N8="",O8=""),"",((O8-N8)/1.18)/N8)</f>
        <v>0.0630997540420608</v>
      </c>
      <c r="S8" s="15" t="n">
        <f aca="false">IF(OR(P8="",O8=""),"",(P8-O8)/O8)</f>
        <v>-0.0565416757957995</v>
      </c>
      <c r="T8" s="9" t="str">
        <f aca="false">IF(AND(D8="",G8&lt;&gt;""),"no dates - assumed 1 night",IF(Q8="","",IF(Q8&gt;1.5,"check: markup &gt;150%",IF(Q8&lt;0,"below cost",""))))</f>
        <v>no dates - assumed 1 night</v>
      </c>
    </row>
    <row r="9" customFormat="false" ht="15" hidden="false" customHeight="false" outlineLevel="0" collapsed="false">
      <c r="A9" s="9" t="s">
        <v>15</v>
      </c>
      <c r="B9" s="9" t="s">
        <v>214</v>
      </c>
      <c r="C9" s="9" t="s">
        <v>50</v>
      </c>
      <c r="D9" s="16"/>
      <c r="E9" s="16"/>
      <c r="F9" s="9" t="n">
        <f aca="false">IF(OR(D9="",E9=""),1,MAX(1,DATEVALUE(E9)-DATEVALUE(D9)))</f>
        <v>1</v>
      </c>
      <c r="G9" s="11" t="n">
        <v>29592</v>
      </c>
      <c r="H9" s="11" t="n">
        <v>30267</v>
      </c>
      <c r="I9" s="11"/>
      <c r="J9" s="11"/>
      <c r="K9" s="11"/>
      <c r="L9" s="12" t="n">
        <v>300.6</v>
      </c>
      <c r="M9" s="13" t="n">
        <v>0.12</v>
      </c>
      <c r="N9" s="14" t="n">
        <f aca="false">IF(G9="","",G9/F9)</f>
        <v>29592</v>
      </c>
      <c r="O9" s="14" t="n">
        <f aca="false">IF(COUNT(H9:K9)=0,"",MIN(H9:K9)/F9)</f>
        <v>30267</v>
      </c>
      <c r="P9" s="14" t="n">
        <f aca="false">IF(L9="","",L9*95/F9)</f>
        <v>28557</v>
      </c>
      <c r="Q9" s="15" t="n">
        <f aca="false">IF(OR(N9="",O9=""),"",(IF(AND(N9&gt;7500,O9&gt;7500),O9/(1+IF(O9&lt;=1000,0,IF(O9&lt;=7500,0.05,0.18)))-IF(AND(N9&gt;7500,O9&gt;7500),N9/1.18,N9),(O9-IF(AND(N9&gt;7500,O9&gt;7500),N9/1.18,N9))/(1+IF(O9&lt;=1000,0,IF(O9&lt;=7500,0.05,0.18)))))/(IF(AND(N9&gt;7500,O9&gt;7500),N9/1.18,N9)))</f>
        <v>0.0228102189781021</v>
      </c>
      <c r="R9" s="15" t="n">
        <f aca="false">IF(OR(N9="",O9=""),"",((O9-N9)/1.18)/N9)</f>
        <v>0.0193306940492391</v>
      </c>
      <c r="S9" s="15" t="n">
        <f aca="false">IF(OR(P9="",O9=""),"",(P9-O9)/O9)</f>
        <v>-0.0564971751412428</v>
      </c>
      <c r="T9" s="9" t="str">
        <f aca="false">IF(AND(D9="",G9&lt;&gt;""),"no dates - assumed 1 night",IF(Q9="","",IF(Q9&gt;1.5,"check: markup &gt;150%",IF(Q9&lt;0,"below cost",""))))</f>
        <v>no dates - assumed 1 night</v>
      </c>
    </row>
    <row r="10" customFormat="false" ht="15" hidden="false" customHeight="false" outlineLevel="0" collapsed="false">
      <c r="A10" s="9" t="s">
        <v>15</v>
      </c>
      <c r="B10" s="9" t="s">
        <v>214</v>
      </c>
      <c r="C10" s="9" t="s">
        <v>54</v>
      </c>
      <c r="D10" s="16"/>
      <c r="E10" s="16"/>
      <c r="F10" s="9" t="n">
        <f aca="false">IF(OR(D10="",E10=""),1,MAX(1,DATEVALUE(E10)-DATEVALUE(D10)))</f>
        <v>1</v>
      </c>
      <c r="G10" s="11" t="n">
        <v>29735</v>
      </c>
      <c r="H10" s="11" t="n">
        <v>31949</v>
      </c>
      <c r="I10" s="11"/>
      <c r="J10" s="11"/>
      <c r="K10" s="11"/>
      <c r="L10" s="12" t="n">
        <v>300.6</v>
      </c>
      <c r="M10" s="13" t="n">
        <v>0.12</v>
      </c>
      <c r="N10" s="14" t="n">
        <f aca="false">IF(G10="","",G10/F10)</f>
        <v>29735</v>
      </c>
      <c r="O10" s="14" t="n">
        <f aca="false">IF(COUNT(H10:K10)=0,"",MIN(H10:K10)/F10)</f>
        <v>31949</v>
      </c>
      <c r="P10" s="14" t="n">
        <f aca="false">IF(L10="","",L10*95/F10)</f>
        <v>28557</v>
      </c>
      <c r="Q10" s="15" t="n">
        <f aca="false">IF(OR(N10="",O10=""),"",(IF(AND(N10&gt;7500,O10&gt;7500),O10/(1+IF(O10&lt;=1000,0,IF(O10&lt;=7500,0.05,0.18)))-IF(AND(N10&gt;7500,O10&gt;7500),N10/1.18,N10),(O10-IF(AND(N10&gt;7500,O10&gt;7500),N10/1.18,N10))/(1+IF(O10&lt;=1000,0,IF(O10&lt;=7500,0.05,0.18)))))/(IF(AND(N10&gt;7500,O10&gt;7500),N10/1.18,N10)))</f>
        <v>0.0744577097696317</v>
      </c>
      <c r="R10" s="15" t="n">
        <f aca="false">IF(OR(N10="",O10=""),"",((O10-N10)/1.18)/N10)</f>
        <v>0.0630997540420608</v>
      </c>
      <c r="S10" s="15" t="n">
        <f aca="false">IF(OR(P10="",O10=""),"",(P10-O10)/O10)</f>
        <v>-0.106169207173933</v>
      </c>
      <c r="T10" s="9" t="str">
        <f aca="false">IF(AND(D10="",G10&lt;&gt;""),"no dates - assumed 1 night",IF(Q10="","",IF(Q10&gt;1.5,"check: markup &gt;150%",IF(Q10&lt;0,"below cost",""))))</f>
        <v>no dates - assumed 1 night</v>
      </c>
    </row>
    <row r="11" customFormat="false" ht="15" hidden="false" customHeight="false" outlineLevel="0" collapsed="false">
      <c r="A11" s="9" t="s">
        <v>15</v>
      </c>
      <c r="B11" s="9" t="s">
        <v>215</v>
      </c>
      <c r="C11" s="9" t="s">
        <v>41</v>
      </c>
      <c r="D11" s="16"/>
      <c r="E11" s="16"/>
      <c r="F11" s="9" t="n">
        <f aca="false">IF(OR(D11="",E11=""),1,MAX(1,DATEVALUE(E11)-DATEVALUE(D11)))</f>
        <v>1</v>
      </c>
      <c r="G11" s="11" t="n">
        <v>28772</v>
      </c>
      <c r="H11" s="11" t="n">
        <v>35144</v>
      </c>
      <c r="I11" s="11"/>
      <c r="J11" s="11"/>
      <c r="K11" s="11"/>
      <c r="L11" s="12" t="n">
        <v>337.07</v>
      </c>
      <c r="M11" s="13" t="n">
        <v>0.11</v>
      </c>
      <c r="N11" s="14" t="n">
        <f aca="false">IF(G11="","",G11/F11)</f>
        <v>28772</v>
      </c>
      <c r="O11" s="14" t="n">
        <f aca="false">IF(COUNT(H11:K11)=0,"",MIN(H11:K11)/F11)</f>
        <v>35144</v>
      </c>
      <c r="P11" s="14" t="n">
        <f aca="false">IF(L11="","",L11*95/F11)</f>
        <v>32021.65</v>
      </c>
      <c r="Q11" s="15" t="n">
        <f aca="false">IF(OR(N11="",O11=""),"",(IF(AND(N11&gt;7500,O11&gt;7500),O11/(1+IF(O11&lt;=1000,0,IF(O11&lt;=7500,0.05,0.18)))-IF(AND(N11&gt;7500,O11&gt;7500),N11/1.18,N11),(O11-IF(AND(N11&gt;7500,O11&gt;7500),N11/1.18,N11))/(1+IF(O11&lt;=1000,0,IF(O11&lt;=7500,0.05,0.18)))))/(IF(AND(N11&gt;7500,O11&gt;7500),N11/1.18,N11)))</f>
        <v>0.221465313499235</v>
      </c>
      <c r="R11" s="15" t="n">
        <f aca="false">IF(OR(N11="",O11=""),"",((O11-N11)/1.18)/N11)</f>
        <v>0.187682469067149</v>
      </c>
      <c r="S11" s="15" t="n">
        <f aca="false">IF(OR(P11="",O11=""),"",(P11-O11)/O11)</f>
        <v>-0.0888444684725701</v>
      </c>
      <c r="T11" s="9" t="str">
        <f aca="false">IF(AND(D11="",G11&lt;&gt;""),"no dates - assumed 1 night",IF(Q11="","",IF(Q11&gt;1.5,"check: markup &gt;150%",IF(Q11&lt;0,"below cost",""))))</f>
        <v>no dates - assumed 1 night</v>
      </c>
    </row>
    <row r="12" customFormat="false" ht="15" hidden="false" customHeight="false" outlineLevel="0" collapsed="false">
      <c r="A12" s="9" t="s">
        <v>15</v>
      </c>
      <c r="B12" s="9" t="s">
        <v>215</v>
      </c>
      <c r="C12" s="9" t="s">
        <v>44</v>
      </c>
      <c r="D12" s="16"/>
      <c r="E12" s="16"/>
      <c r="F12" s="9" t="n">
        <f aca="false">IF(OR(D12="",E12=""),1,MAX(1,DATEVALUE(E12)-DATEVALUE(D12)))</f>
        <v>1</v>
      </c>
      <c r="G12" s="11" t="n">
        <v>30689</v>
      </c>
      <c r="H12" s="11" t="n">
        <v>38512</v>
      </c>
      <c r="I12" s="11"/>
      <c r="J12" s="11"/>
      <c r="K12" s="11"/>
      <c r="L12" s="12" t="n">
        <v>445.52</v>
      </c>
      <c r="M12" s="13" t="n">
        <v>0.21</v>
      </c>
      <c r="N12" s="14" t="n">
        <f aca="false">IF(G12="","",G12/F12)</f>
        <v>30689</v>
      </c>
      <c r="O12" s="14" t="n">
        <f aca="false">IF(COUNT(H12:K12)=0,"",MIN(H12:K12)/F12)</f>
        <v>38512</v>
      </c>
      <c r="P12" s="14" t="n">
        <f aca="false">IF(L12="","",L12*95/F12)</f>
        <v>42324.4</v>
      </c>
      <c r="Q12" s="15" t="n">
        <f aca="false">IF(OR(N12="",O12=""),"",(IF(AND(N12&gt;7500,O12&gt;7500),O12/(1+IF(O12&lt;=1000,0,IF(O12&lt;=7500,0.05,0.18)))-IF(AND(N12&gt;7500,O12&gt;7500),N12/1.18,N12),(O12-IF(AND(N12&gt;7500,O12&gt;7500),N12/1.18,N12))/(1+IF(O12&lt;=1000,0,IF(O12&lt;=7500,0.05,0.18)))))/(IF(AND(N12&gt;7500,O12&gt;7500),N12/1.18,N12)))</f>
        <v>0.254912183518525</v>
      </c>
      <c r="R12" s="15" t="n">
        <f aca="false">IF(OR(N12="",O12=""),"",((O12-N12)/1.18)/N12)</f>
        <v>0.216027274168241</v>
      </c>
      <c r="S12" s="15" t="n">
        <f aca="false">IF(OR(P12="",O12=""),"",(P12-O12)/O12)</f>
        <v>0.0989925218113835</v>
      </c>
      <c r="T12" s="9" t="str">
        <f aca="false">IF(AND(D12="",G12&lt;&gt;""),"no dates - assumed 1 night",IF(Q12="","",IF(Q12&gt;1.5,"check: markup &gt;150%",IF(Q12&lt;0,"below cost",""))))</f>
        <v>no dates - assumed 1 night</v>
      </c>
    </row>
    <row r="13" customFormat="false" ht="15" hidden="false" customHeight="false" outlineLevel="0" collapsed="false">
      <c r="A13" s="9" t="s">
        <v>15</v>
      </c>
      <c r="B13" s="9" t="s">
        <v>215</v>
      </c>
      <c r="C13" s="9" t="s">
        <v>50</v>
      </c>
      <c r="D13" s="16"/>
      <c r="E13" s="16"/>
      <c r="F13" s="9" t="n">
        <f aca="false">IF(OR(D13="",E13=""),1,MAX(1,DATEVALUE(E13)-DATEVALUE(D13)))</f>
        <v>1</v>
      </c>
      <c r="G13" s="11" t="n">
        <v>63940</v>
      </c>
      <c r="H13" s="11" t="n">
        <v>80239</v>
      </c>
      <c r="I13" s="11"/>
      <c r="J13" s="11"/>
      <c r="K13" s="11"/>
      <c r="L13" s="12" t="n">
        <v>746.02</v>
      </c>
      <c r="M13" s="13" t="n">
        <v>0.1</v>
      </c>
      <c r="N13" s="14" t="n">
        <f aca="false">IF(G13="","",G13/F13)</f>
        <v>63940</v>
      </c>
      <c r="O13" s="14" t="n">
        <f aca="false">IF(COUNT(H13:K13)=0,"",MIN(H13:K13)/F13)</f>
        <v>80239</v>
      </c>
      <c r="P13" s="14" t="n">
        <f aca="false">IF(L13="","",L13*95/F13)</f>
        <v>70871.9</v>
      </c>
      <c r="Q13" s="15" t="n">
        <f aca="false">IF(OR(N13="",O13=""),"",(IF(AND(N13&gt;7500,O13&gt;7500),O13/(1+IF(O13&lt;=1000,0,IF(O13&lt;=7500,0.05,0.18)))-IF(AND(N13&gt;7500,O13&gt;7500),N13/1.18,N13),(O13-IF(AND(N13&gt;7500,O13&gt;7500),N13/1.18,N13))/(1+IF(O13&lt;=1000,0,IF(O13&lt;=7500,0.05,0.18)))))/(IF(AND(N13&gt;7500,O13&gt;7500),N13/1.18,N13)))</f>
        <v>0.254910853925555</v>
      </c>
      <c r="R13" s="15" t="n">
        <f aca="false">IF(OR(N13="",O13=""),"",((O13-N13)/1.18)/N13)</f>
        <v>0.216026147394538</v>
      </c>
      <c r="S13" s="15" t="n">
        <f aca="false">IF(OR(P13="",O13=""),"",(P13-O13)/O13)</f>
        <v>-0.11673998928202</v>
      </c>
      <c r="T13" s="9" t="str">
        <f aca="false">IF(AND(D13="",G13&lt;&gt;""),"no dates - assumed 1 night",IF(Q13="","",IF(Q13&gt;1.5,"check: markup &gt;150%",IF(Q13&lt;0,"below cost",""))))</f>
        <v>no dates - assumed 1 night</v>
      </c>
    </row>
    <row r="14" customFormat="false" ht="15" hidden="false" customHeight="false" outlineLevel="0" collapsed="false">
      <c r="A14" s="9" t="s">
        <v>15</v>
      </c>
      <c r="B14" s="9" t="s">
        <v>216</v>
      </c>
      <c r="C14" s="9" t="s">
        <v>41</v>
      </c>
      <c r="D14" s="16"/>
      <c r="E14" s="16"/>
      <c r="F14" s="9" t="n">
        <f aca="false">IF(OR(D14="",E14=""),1,MAX(1,DATEVALUE(E14)-DATEVALUE(D14)))</f>
        <v>1</v>
      </c>
      <c r="G14" s="11" t="n">
        <v>33025</v>
      </c>
      <c r="H14" s="11" t="n">
        <v>42337</v>
      </c>
      <c r="I14" s="11"/>
      <c r="J14" s="11"/>
      <c r="K14" s="11"/>
      <c r="L14" s="12" t="n">
        <v>395.12</v>
      </c>
      <c r="M14" s="13" t="n">
        <v>0.12</v>
      </c>
      <c r="N14" s="14" t="n">
        <f aca="false">IF(G14="","",G14/F14)</f>
        <v>33025</v>
      </c>
      <c r="O14" s="14" t="n">
        <f aca="false">IF(COUNT(H14:K14)=0,"",MIN(H14:K14)/F14)</f>
        <v>42337</v>
      </c>
      <c r="P14" s="14" t="n">
        <f aca="false">IF(L14="","",L14*95/F14)</f>
        <v>37536.4</v>
      </c>
      <c r="Q14" s="15" t="n">
        <f aca="false">IF(OR(N14="",O14=""),"",(IF(AND(N14&gt;7500,O14&gt;7500),O14/(1+IF(O14&lt;=1000,0,IF(O14&lt;=7500,0.05,0.18)))-IF(AND(N14&gt;7500,O14&gt;7500),N14/1.18,N14),(O14-IF(AND(N14&gt;7500,O14&gt;7500),N14/1.18,N14))/(1+IF(O14&lt;=1000,0,IF(O14&lt;=7500,0.05,0.18)))))/(IF(AND(N14&gt;7500,O14&gt;7500),N14/1.18,N14)))</f>
        <v>0.281968205904618</v>
      </c>
      <c r="R14" s="15" t="n">
        <f aca="false">IF(OR(N14="",O14=""),"",((O14-N14)/1.18)/N14)</f>
        <v>0.238956106698829</v>
      </c>
      <c r="S14" s="15" t="n">
        <f aca="false">IF(OR(P14="",O14=""),"",(P14-O14)/O14)</f>
        <v>-0.113390178803411</v>
      </c>
      <c r="T14" s="9" t="str">
        <f aca="false">IF(AND(D14="",G14&lt;&gt;""),"no dates - assumed 1 night",IF(Q14="","",IF(Q14&gt;1.5,"check: markup &gt;150%",IF(Q14&lt;0,"below cost",""))))</f>
        <v>no dates - assumed 1 night</v>
      </c>
    </row>
    <row r="15" customFormat="false" ht="15" hidden="false" customHeight="false" outlineLevel="0" collapsed="false">
      <c r="A15" s="9" t="s">
        <v>15</v>
      </c>
      <c r="B15" s="9" t="s">
        <v>217</v>
      </c>
      <c r="C15" s="9" t="s">
        <v>41</v>
      </c>
      <c r="D15" s="10" t="s">
        <v>42</v>
      </c>
      <c r="E15" s="10" t="s">
        <v>43</v>
      </c>
      <c r="F15" s="9" t="n">
        <f aca="false">IF(OR(D15="",E15=""),1,MAX(1,DATEVALUE(E15)-DATEVALUE(D15)))</f>
        <v>3</v>
      </c>
      <c r="G15" s="11" t="n">
        <v>12953</v>
      </c>
      <c r="H15" s="11" t="n">
        <v>14406</v>
      </c>
      <c r="I15" s="11"/>
      <c r="J15" s="11"/>
      <c r="K15" s="11"/>
      <c r="L15" s="12" t="n">
        <v>158.96</v>
      </c>
      <c r="M15" s="13" t="n">
        <v>0.12</v>
      </c>
      <c r="N15" s="14" t="n">
        <f aca="false">IF(G15="","",G15/F15)</f>
        <v>4317.66666666667</v>
      </c>
      <c r="O15" s="14" t="n">
        <f aca="false">IF(COUNT(H15:K15)=0,"",MIN(H15:K15)/F15)</f>
        <v>4802</v>
      </c>
      <c r="P15" s="14" t="n">
        <f aca="false">IF(L15="","",L15*95/F15)</f>
        <v>5033.73333333333</v>
      </c>
      <c r="Q15" s="15" t="n">
        <f aca="false">IF(OR(N15="",O15=""),"",(IF(AND(N15&gt;7500,O15&gt;7500),O15/(1+IF(O15&lt;=1000,0,IF(O15&lt;=7500,0.05,0.18)))-IF(AND(N15&gt;7500,O15&gt;7500),N15/1.18,N15),(O15-IF(AND(N15&gt;7500,O15&gt;7500),N15/1.18,N15))/(1+IF(O15&lt;=1000,0,IF(O15&lt;=7500,0.05,0.18)))))/(IF(AND(N15&gt;7500,O15&gt;7500),N15/1.18,N15)))</f>
        <v>0.106833129298967</v>
      </c>
      <c r="R15" s="15" t="n">
        <f aca="false">IF(OR(N15="",O15=""),"",((O15-N15)/1.18)/N15)</f>
        <v>0.0950633777660302</v>
      </c>
      <c r="S15" s="15" t="n">
        <f aca="false">IF(OR(P15="",O15=""),"",(P15-O15)/O15)</f>
        <v>0.0482576704151049</v>
      </c>
      <c r="T15" s="9" t="str">
        <f aca="false">IF(AND(D15="",G15&lt;&gt;""),"no dates - assumed 1 night",IF(Q15="","",IF(Q15&gt;1.5,"check: markup &gt;150%",IF(Q15&lt;0,"below cost",""))))</f>
        <v/>
      </c>
    </row>
    <row r="16" customFormat="false" ht="15" hidden="false" customHeight="false" outlineLevel="0" collapsed="false">
      <c r="A16" s="9" t="s">
        <v>15</v>
      </c>
      <c r="B16" s="9" t="s">
        <v>217</v>
      </c>
      <c r="C16" s="9" t="s">
        <v>44</v>
      </c>
      <c r="D16" s="10" t="s">
        <v>45</v>
      </c>
      <c r="E16" s="10" t="s">
        <v>46</v>
      </c>
      <c r="F16" s="9" t="n">
        <f aca="false">IF(OR(D16="",E16=""),1,MAX(1,DATEVALUE(E16)-DATEVALUE(D16)))</f>
        <v>3</v>
      </c>
      <c r="G16" s="11" t="n">
        <v>11085</v>
      </c>
      <c r="H16" s="11" t="n">
        <v>12252</v>
      </c>
      <c r="I16" s="11"/>
      <c r="J16" s="11"/>
      <c r="K16" s="11"/>
      <c r="L16" s="12" t="n">
        <v>135.21</v>
      </c>
      <c r="M16" s="13" t="n">
        <v>0.12</v>
      </c>
      <c r="N16" s="14" t="n">
        <f aca="false">IF(G16="","",G16/F16)</f>
        <v>3695</v>
      </c>
      <c r="O16" s="14" t="n">
        <f aca="false">IF(COUNT(H16:K16)=0,"",MIN(H16:K16)/F16)</f>
        <v>4084</v>
      </c>
      <c r="P16" s="14" t="n">
        <f aca="false">IF(L16="","",L16*95/F16)</f>
        <v>4281.65</v>
      </c>
      <c r="Q16" s="15" t="n">
        <f aca="false">IF(OR(N16="",O16=""),"",(IF(AND(N16&gt;7500,O16&gt;7500),O16/(1+IF(O16&lt;=1000,0,IF(O16&lt;=7500,0.05,0.18)))-IF(AND(N16&gt;7500,O16&gt;7500),N16/1.18,N16),(O16-IF(AND(N16&gt;7500,O16&gt;7500),N16/1.18,N16))/(1+IF(O16&lt;=1000,0,IF(O16&lt;=7500,0.05,0.18)))))/(IF(AND(N16&gt;7500,O16&gt;7500),N16/1.18,N16)))</f>
        <v>0.10026419228043</v>
      </c>
      <c r="R16" s="15" t="n">
        <f aca="false">IF(OR(N16="",O16=""),"",((O16-N16)/1.18)/N16)</f>
        <v>0.0892181371986881</v>
      </c>
      <c r="S16" s="15" t="n">
        <f aca="false">IF(OR(P16="",O16=""),"",(P16-O16)/O16)</f>
        <v>0.0483961802154752</v>
      </c>
      <c r="T16" s="9" t="str">
        <f aca="false">IF(AND(D16="",G16&lt;&gt;""),"no dates - assumed 1 night",IF(Q16="","",IF(Q16&gt;1.5,"check: markup &gt;150%",IF(Q16&lt;0,"below cost",""))))</f>
        <v/>
      </c>
    </row>
    <row r="17" customFormat="false" ht="15" hidden="false" customHeight="false" outlineLevel="0" collapsed="false">
      <c r="A17" s="9" t="s">
        <v>15</v>
      </c>
      <c r="B17" s="9" t="s">
        <v>217</v>
      </c>
      <c r="C17" s="9" t="s">
        <v>47</v>
      </c>
      <c r="D17" s="10" t="s">
        <v>48</v>
      </c>
      <c r="E17" s="10" t="s">
        <v>49</v>
      </c>
      <c r="F17" s="9" t="n">
        <f aca="false">IF(OR(D17="",E17=""),1,MAX(1,DATEVALUE(E17)-DATEVALUE(D17)))</f>
        <v>3</v>
      </c>
      <c r="G17" s="11" t="n">
        <v>18198</v>
      </c>
      <c r="H17" s="11" t="n">
        <v>20331</v>
      </c>
      <c r="I17" s="11"/>
      <c r="J17" s="11"/>
      <c r="K17" s="11"/>
      <c r="L17" s="12" t="n">
        <v>224.37</v>
      </c>
      <c r="M17" s="13" t="n">
        <v>0.12</v>
      </c>
      <c r="N17" s="14" t="n">
        <f aca="false">IF(G17="","",G17/F17)</f>
        <v>6066</v>
      </c>
      <c r="O17" s="14" t="n">
        <f aca="false">IF(COUNT(H17:K17)=0,"",MIN(H17:K17)/F17)</f>
        <v>6777</v>
      </c>
      <c r="P17" s="14" t="n">
        <f aca="false">IF(L17="","",L17*95/F17)</f>
        <v>7105.05</v>
      </c>
      <c r="Q17" s="15" t="n">
        <f aca="false">IF(OR(N17="",O17=""),"",(IF(AND(N17&gt;7500,O17&gt;7500),O17/(1+IF(O17&lt;=1000,0,IF(O17&lt;=7500,0.05,0.18)))-IF(AND(N17&gt;7500,O17&gt;7500),N17/1.18,N17),(O17-IF(AND(N17&gt;7500,O17&gt;7500),N17/1.18,N17))/(1+IF(O17&lt;=1000,0,IF(O17&lt;=7500,0.05,0.18)))))/(IF(AND(N17&gt;7500,O17&gt;7500),N17/1.18,N17)))</f>
        <v>0.111629221421506</v>
      </c>
      <c r="R17" s="15" t="n">
        <f aca="false">IF(OR(N17="",O17=""),"",((O17-N17)/1.18)/N17)</f>
        <v>0.09933108685812</v>
      </c>
      <c r="S17" s="15" t="n">
        <f aca="false">IF(OR(P17="",O17=""),"",(P17-O17)/O17)</f>
        <v>0.0484063745019921</v>
      </c>
      <c r="T17" s="9" t="str">
        <f aca="false">IF(AND(D17="",G17&lt;&gt;""),"no dates - assumed 1 night",IF(Q17="","",IF(Q17&gt;1.5,"check: markup &gt;150%",IF(Q17&lt;0,"below cost",""))))</f>
        <v/>
      </c>
    </row>
    <row r="18" customFormat="false" ht="15" hidden="false" customHeight="false" outlineLevel="0" collapsed="false">
      <c r="A18" s="9" t="s">
        <v>15</v>
      </c>
      <c r="B18" s="9" t="s">
        <v>217</v>
      </c>
      <c r="C18" s="9" t="s">
        <v>50</v>
      </c>
      <c r="D18" s="10" t="s">
        <v>51</v>
      </c>
      <c r="E18" s="10" t="s">
        <v>52</v>
      </c>
      <c r="F18" s="9" t="n">
        <f aca="false">IF(OR(D18="",E18=""),1,MAX(1,DATEVALUE(E18)-DATEVALUE(D18)))</f>
        <v>3</v>
      </c>
      <c r="G18" s="11" t="n">
        <v>18084</v>
      </c>
      <c r="H18" s="11" t="n">
        <v>20331</v>
      </c>
      <c r="I18" s="11"/>
      <c r="J18" s="11"/>
      <c r="K18" s="11"/>
      <c r="L18" s="12" t="n">
        <v>224.37</v>
      </c>
      <c r="M18" s="13" t="n">
        <v>0.12</v>
      </c>
      <c r="N18" s="14" t="n">
        <f aca="false">IF(G18="","",G18/F18)</f>
        <v>6028</v>
      </c>
      <c r="O18" s="14" t="n">
        <f aca="false">IF(COUNT(H18:K18)=0,"",MIN(H18:K18)/F18)</f>
        <v>6777</v>
      </c>
      <c r="P18" s="14" t="n">
        <f aca="false">IF(L18="","",L18*95/F18)</f>
        <v>7105.05</v>
      </c>
      <c r="Q18" s="15" t="n">
        <f aca="false">IF(OR(N18="",O18=""),"",(IF(AND(N18&gt;7500,O18&gt;7500),O18/(1+IF(O18&lt;=1000,0,IF(O18&lt;=7500,0.05,0.18)))-IF(AND(N18&gt;7500,O18&gt;7500),N18/1.18,N18),(O18-IF(AND(N18&gt;7500,O18&gt;7500),N18/1.18,N18))/(1+IF(O18&lt;=1000,0,IF(O18&lt;=7500,0.05,0.18)))))/(IF(AND(N18&gt;7500,O18&gt;7500),N18/1.18,N18)))</f>
        <v>0.118336651183367</v>
      </c>
      <c r="R18" s="15" t="n">
        <f aca="false">IF(OR(N18="",O18=""),"",((O18-N18)/1.18)/N18)</f>
        <v>0.105299562493674</v>
      </c>
      <c r="S18" s="15" t="n">
        <f aca="false">IF(OR(P18="",O18=""),"",(P18-O18)/O18)</f>
        <v>0.0484063745019921</v>
      </c>
      <c r="T18" s="9" t="str">
        <f aca="false">IF(AND(D18="",G18&lt;&gt;""),"no dates - assumed 1 night",IF(Q18="","",IF(Q18&gt;1.5,"check: markup &gt;150%",IF(Q18&lt;0,"below cost",""))))</f>
        <v/>
      </c>
    </row>
    <row r="19" customFormat="false" ht="15" hidden="false" customHeight="false" outlineLevel="0" collapsed="false">
      <c r="A19" s="9" t="s">
        <v>15</v>
      </c>
      <c r="B19" s="9" t="s">
        <v>217</v>
      </c>
      <c r="C19" s="9" t="s">
        <v>54</v>
      </c>
      <c r="D19" s="10" t="s">
        <v>55</v>
      </c>
      <c r="E19" s="10" t="s">
        <v>56</v>
      </c>
      <c r="F19" s="9" t="n">
        <f aca="false">IF(OR(D19="",E19=""),1,MAX(1,DATEVALUE(E19)-DATEVALUE(D19)))</f>
        <v>3</v>
      </c>
      <c r="G19" s="11" t="n">
        <v>17285</v>
      </c>
      <c r="H19" s="11" t="n">
        <v>19434</v>
      </c>
      <c r="I19" s="11"/>
      <c r="J19" s="11"/>
      <c r="K19" s="11"/>
      <c r="L19" s="12" t="n">
        <v>214.45</v>
      </c>
      <c r="M19" s="13" t="n">
        <v>0.12</v>
      </c>
      <c r="N19" s="14" t="n">
        <f aca="false">IF(G19="","",G19/F19)</f>
        <v>5761.66666666667</v>
      </c>
      <c r="O19" s="14" t="n">
        <f aca="false">IF(COUNT(H19:K19)=0,"",MIN(H19:K19)/F19)</f>
        <v>6478</v>
      </c>
      <c r="P19" s="14" t="n">
        <f aca="false">IF(L19="","",L19*95/F19)</f>
        <v>6790.91666666667</v>
      </c>
      <c r="Q19" s="15" t="n">
        <f aca="false">IF(OR(N19="",O19=""),"",(IF(AND(N19&gt;7500,O19&gt;7500),O19/(1+IF(O19&lt;=1000,0,IF(O19&lt;=7500,0.05,0.18)))-IF(AND(N19&gt;7500,O19&gt;7500),N19/1.18,N19),(O19-IF(AND(N19&gt;7500,O19&gt;7500),N19/1.18,N19))/(1+IF(O19&lt;=1000,0,IF(O19&lt;=7500,0.05,0.18)))))/(IF(AND(N19&gt;7500,O19&gt;7500),N19/1.18,N19)))</f>
        <v>0.118407096711985</v>
      </c>
      <c r="R19" s="15" t="n">
        <f aca="false">IF(OR(N19="",O19=""),"",((O19-N19)/1.18)/N19)</f>
        <v>0.105362247074224</v>
      </c>
      <c r="S19" s="15" t="n">
        <f aca="false">IF(OR(P19="",O19=""),"",(P19-O19)/O19)</f>
        <v>0.0483045178553052</v>
      </c>
      <c r="T19" s="9" t="str">
        <f aca="false">IF(AND(D19="",G19&lt;&gt;""),"no dates - assumed 1 night",IF(Q19="","",IF(Q19&gt;1.5,"check: markup &gt;150%",IF(Q19&lt;0,"below cost",""))))</f>
        <v/>
      </c>
    </row>
    <row r="20" customFormat="false" ht="15" hidden="false" customHeight="false" outlineLevel="0" collapsed="false">
      <c r="A20" s="9" t="s">
        <v>15</v>
      </c>
      <c r="B20" s="9" t="s">
        <v>217</v>
      </c>
      <c r="C20" s="9" t="s">
        <v>41</v>
      </c>
      <c r="D20" s="10" t="s">
        <v>42</v>
      </c>
      <c r="E20" s="10" t="s">
        <v>43</v>
      </c>
      <c r="F20" s="9" t="n">
        <f aca="false">IF(OR(D20="",E20=""),1,MAX(1,DATEVALUE(E20)-DATEVALUE(D20)))</f>
        <v>3</v>
      </c>
      <c r="G20" s="11" t="n">
        <v>12953</v>
      </c>
      <c r="H20" s="11" t="n">
        <v>14406</v>
      </c>
      <c r="I20" s="11"/>
      <c r="J20" s="11"/>
      <c r="K20" s="11"/>
      <c r="L20" s="12" t="n">
        <v>158.96</v>
      </c>
      <c r="M20" s="13" t="n">
        <v>0.12</v>
      </c>
      <c r="N20" s="14" t="n">
        <f aca="false">IF(G20="","",G20/F20)</f>
        <v>4317.66666666667</v>
      </c>
      <c r="O20" s="14" t="n">
        <f aca="false">IF(COUNT(H20:K20)=0,"",MIN(H20:K20)/F20)</f>
        <v>4802</v>
      </c>
      <c r="P20" s="14" t="n">
        <f aca="false">IF(L20="","",L20*95/F20)</f>
        <v>5033.73333333333</v>
      </c>
      <c r="Q20" s="15" t="n">
        <f aca="false">IF(OR(N20="",O20=""),"",(IF(AND(N20&gt;7500,O20&gt;7500),O20/(1+IF(O20&lt;=1000,0,IF(O20&lt;=7500,0.05,0.18)))-IF(AND(N20&gt;7500,O20&gt;7500),N20/1.18,N20),(O20-IF(AND(N20&gt;7500,O20&gt;7500),N20/1.18,N20))/(1+IF(O20&lt;=1000,0,IF(O20&lt;=7500,0.05,0.18)))))/(IF(AND(N20&gt;7500,O20&gt;7500),N20/1.18,N20)))</f>
        <v>0.106833129298967</v>
      </c>
      <c r="R20" s="15" t="n">
        <f aca="false">IF(OR(N20="",O20=""),"",((O20-N20)/1.18)/N20)</f>
        <v>0.0950633777660302</v>
      </c>
      <c r="S20" s="15" t="n">
        <f aca="false">IF(OR(P20="",O20=""),"",(P20-O20)/O20)</f>
        <v>0.0482576704151049</v>
      </c>
      <c r="T20" s="9" t="str">
        <f aca="false">IF(AND(D20="",G20&lt;&gt;""),"no dates - assumed 1 night",IF(Q20="","",IF(Q20&gt;1.5,"check: markup &gt;150%",IF(Q20&lt;0,"below cost",""))))</f>
        <v/>
      </c>
    </row>
    <row r="21" customFormat="false" ht="15" hidden="false" customHeight="false" outlineLevel="0" collapsed="false">
      <c r="A21" s="9" t="s">
        <v>15</v>
      </c>
      <c r="B21" s="9" t="s">
        <v>217</v>
      </c>
      <c r="C21" s="9" t="s">
        <v>44</v>
      </c>
      <c r="D21" s="10" t="s">
        <v>45</v>
      </c>
      <c r="E21" s="10" t="s">
        <v>46</v>
      </c>
      <c r="F21" s="9" t="n">
        <f aca="false">IF(OR(D21="",E21=""),1,MAX(1,DATEVALUE(E21)-DATEVALUE(D21)))</f>
        <v>3</v>
      </c>
      <c r="G21" s="11" t="n">
        <v>11085</v>
      </c>
      <c r="H21" s="11" t="n">
        <v>12252</v>
      </c>
      <c r="I21" s="11"/>
      <c r="J21" s="11"/>
      <c r="K21" s="11"/>
      <c r="L21" s="12" t="n">
        <v>135.21</v>
      </c>
      <c r="M21" s="13" t="n">
        <v>0.12</v>
      </c>
      <c r="N21" s="14" t="n">
        <f aca="false">IF(G21="","",G21/F21)</f>
        <v>3695</v>
      </c>
      <c r="O21" s="14" t="n">
        <f aca="false">IF(COUNT(H21:K21)=0,"",MIN(H21:K21)/F21)</f>
        <v>4084</v>
      </c>
      <c r="P21" s="14" t="n">
        <f aca="false">IF(L21="","",L21*95/F21)</f>
        <v>4281.65</v>
      </c>
      <c r="Q21" s="15" t="n">
        <f aca="false">IF(OR(N21="",O21=""),"",(IF(AND(N21&gt;7500,O21&gt;7500),O21/(1+IF(O21&lt;=1000,0,IF(O21&lt;=7500,0.05,0.18)))-IF(AND(N21&gt;7500,O21&gt;7500),N21/1.18,N21),(O21-IF(AND(N21&gt;7500,O21&gt;7500),N21/1.18,N21))/(1+IF(O21&lt;=1000,0,IF(O21&lt;=7500,0.05,0.18)))))/(IF(AND(N21&gt;7500,O21&gt;7500),N21/1.18,N21)))</f>
        <v>0.10026419228043</v>
      </c>
      <c r="R21" s="15" t="n">
        <f aca="false">IF(OR(N21="",O21=""),"",((O21-N21)/1.18)/N21)</f>
        <v>0.0892181371986881</v>
      </c>
      <c r="S21" s="15" t="n">
        <f aca="false">IF(OR(P21="",O21=""),"",(P21-O21)/O21)</f>
        <v>0.0483961802154752</v>
      </c>
      <c r="T21" s="9" t="str">
        <f aca="false">IF(AND(D21="",G21&lt;&gt;""),"no dates - assumed 1 night",IF(Q21="","",IF(Q21&gt;1.5,"check: markup &gt;150%",IF(Q21&lt;0,"below cost",""))))</f>
        <v/>
      </c>
    </row>
    <row r="22" customFormat="false" ht="15" hidden="false" customHeight="false" outlineLevel="0" collapsed="false">
      <c r="A22" s="9" t="s">
        <v>15</v>
      </c>
      <c r="B22" s="9" t="s">
        <v>217</v>
      </c>
      <c r="C22" s="9" t="s">
        <v>47</v>
      </c>
      <c r="D22" s="10" t="s">
        <v>48</v>
      </c>
      <c r="E22" s="10" t="s">
        <v>49</v>
      </c>
      <c r="F22" s="9" t="n">
        <f aca="false">IF(OR(D22="",E22=""),1,MAX(1,DATEVALUE(E22)-DATEVALUE(D22)))</f>
        <v>3</v>
      </c>
      <c r="G22" s="11" t="n">
        <v>18198</v>
      </c>
      <c r="H22" s="11" t="n">
        <v>20331</v>
      </c>
      <c r="I22" s="11"/>
      <c r="J22" s="11"/>
      <c r="K22" s="11"/>
      <c r="L22" s="12" t="n">
        <v>224.37</v>
      </c>
      <c r="M22" s="13" t="n">
        <v>0.12</v>
      </c>
      <c r="N22" s="14" t="n">
        <f aca="false">IF(G22="","",G22/F22)</f>
        <v>6066</v>
      </c>
      <c r="O22" s="14" t="n">
        <f aca="false">IF(COUNT(H22:K22)=0,"",MIN(H22:K22)/F22)</f>
        <v>6777</v>
      </c>
      <c r="P22" s="14" t="n">
        <f aca="false">IF(L22="","",L22*95/F22)</f>
        <v>7105.05</v>
      </c>
      <c r="Q22" s="15" t="n">
        <f aca="false">IF(OR(N22="",O22=""),"",(IF(AND(N22&gt;7500,O22&gt;7500),O22/(1+IF(O22&lt;=1000,0,IF(O22&lt;=7500,0.05,0.18)))-IF(AND(N22&gt;7500,O22&gt;7500),N22/1.18,N22),(O22-IF(AND(N22&gt;7500,O22&gt;7500),N22/1.18,N22))/(1+IF(O22&lt;=1000,0,IF(O22&lt;=7500,0.05,0.18)))))/(IF(AND(N22&gt;7500,O22&gt;7500),N22/1.18,N22)))</f>
        <v>0.111629221421506</v>
      </c>
      <c r="R22" s="15" t="n">
        <f aca="false">IF(OR(N22="",O22=""),"",((O22-N22)/1.18)/N22)</f>
        <v>0.09933108685812</v>
      </c>
      <c r="S22" s="15" t="n">
        <f aca="false">IF(OR(P22="",O22=""),"",(P22-O22)/O22)</f>
        <v>0.0484063745019921</v>
      </c>
      <c r="T22" s="9" t="str">
        <f aca="false">IF(AND(D22="",G22&lt;&gt;""),"no dates - assumed 1 night",IF(Q22="","",IF(Q22&gt;1.5,"check: markup &gt;150%",IF(Q22&lt;0,"below cost",""))))</f>
        <v/>
      </c>
    </row>
    <row r="23" customFormat="false" ht="15" hidden="false" customHeight="false" outlineLevel="0" collapsed="false">
      <c r="A23" s="9" t="s">
        <v>15</v>
      </c>
      <c r="B23" s="9" t="s">
        <v>217</v>
      </c>
      <c r="C23" s="9" t="s">
        <v>50</v>
      </c>
      <c r="D23" s="10" t="s">
        <v>51</v>
      </c>
      <c r="E23" s="10" t="s">
        <v>52</v>
      </c>
      <c r="F23" s="9" t="n">
        <f aca="false">IF(OR(D23="",E23=""),1,MAX(1,DATEVALUE(E23)-DATEVALUE(D23)))</f>
        <v>3</v>
      </c>
      <c r="G23" s="11" t="n">
        <v>18084</v>
      </c>
      <c r="H23" s="11" t="n">
        <v>20331</v>
      </c>
      <c r="I23" s="11"/>
      <c r="J23" s="11"/>
      <c r="K23" s="11"/>
      <c r="L23" s="12" t="n">
        <v>224.37</v>
      </c>
      <c r="M23" s="13" t="n">
        <v>0.12</v>
      </c>
      <c r="N23" s="14" t="n">
        <f aca="false">IF(G23="","",G23/F23)</f>
        <v>6028</v>
      </c>
      <c r="O23" s="14" t="n">
        <f aca="false">IF(COUNT(H23:K23)=0,"",MIN(H23:K23)/F23)</f>
        <v>6777</v>
      </c>
      <c r="P23" s="14" t="n">
        <f aca="false">IF(L23="","",L23*95/F23)</f>
        <v>7105.05</v>
      </c>
      <c r="Q23" s="15" t="n">
        <f aca="false">IF(OR(N23="",O23=""),"",(IF(AND(N23&gt;7500,O23&gt;7500),O23/(1+IF(O23&lt;=1000,0,IF(O23&lt;=7500,0.05,0.18)))-IF(AND(N23&gt;7500,O23&gt;7500),N23/1.18,N23),(O23-IF(AND(N23&gt;7500,O23&gt;7500),N23/1.18,N23))/(1+IF(O23&lt;=1000,0,IF(O23&lt;=7500,0.05,0.18)))))/(IF(AND(N23&gt;7500,O23&gt;7500),N23/1.18,N23)))</f>
        <v>0.118336651183367</v>
      </c>
      <c r="R23" s="15" t="n">
        <f aca="false">IF(OR(N23="",O23=""),"",((O23-N23)/1.18)/N23)</f>
        <v>0.105299562493674</v>
      </c>
      <c r="S23" s="15" t="n">
        <f aca="false">IF(OR(P23="",O23=""),"",(P23-O23)/O23)</f>
        <v>0.0484063745019921</v>
      </c>
      <c r="T23" s="9" t="str">
        <f aca="false">IF(AND(D23="",G23&lt;&gt;""),"no dates - assumed 1 night",IF(Q23="","",IF(Q23&gt;1.5,"check: markup &gt;150%",IF(Q23&lt;0,"below cost",""))))</f>
        <v/>
      </c>
    </row>
    <row r="24" customFormat="false" ht="15" hidden="false" customHeight="false" outlineLevel="0" collapsed="false">
      <c r="A24" s="9" t="s">
        <v>15</v>
      </c>
      <c r="B24" s="9" t="s">
        <v>217</v>
      </c>
      <c r="C24" s="9" t="s">
        <v>54</v>
      </c>
      <c r="D24" s="10" t="s">
        <v>55</v>
      </c>
      <c r="E24" s="10" t="s">
        <v>56</v>
      </c>
      <c r="F24" s="9" t="n">
        <f aca="false">IF(OR(D24="",E24=""),1,MAX(1,DATEVALUE(E24)-DATEVALUE(D24)))</f>
        <v>3</v>
      </c>
      <c r="G24" s="11" t="n">
        <v>17285</v>
      </c>
      <c r="H24" s="11" t="n">
        <v>19434</v>
      </c>
      <c r="I24" s="11"/>
      <c r="J24" s="11"/>
      <c r="K24" s="11"/>
      <c r="L24" s="12" t="n">
        <v>214.45</v>
      </c>
      <c r="M24" s="13" t="n">
        <v>0.12</v>
      </c>
      <c r="N24" s="14" t="n">
        <f aca="false">IF(G24="","",G24/F24)</f>
        <v>5761.66666666667</v>
      </c>
      <c r="O24" s="14" t="n">
        <f aca="false">IF(COUNT(H24:K24)=0,"",MIN(H24:K24)/F24)</f>
        <v>6478</v>
      </c>
      <c r="P24" s="14" t="n">
        <f aca="false">IF(L24="","",L24*95/F24)</f>
        <v>6790.91666666667</v>
      </c>
      <c r="Q24" s="15" t="n">
        <f aca="false">IF(OR(N24="",O24=""),"",(IF(AND(N24&gt;7500,O24&gt;7500),O24/(1+IF(O24&lt;=1000,0,IF(O24&lt;=7500,0.05,0.18)))-IF(AND(N24&gt;7500,O24&gt;7500),N24/1.18,N24),(O24-IF(AND(N24&gt;7500,O24&gt;7500),N24/1.18,N24))/(1+IF(O24&lt;=1000,0,IF(O24&lt;=7500,0.05,0.18)))))/(IF(AND(N24&gt;7500,O24&gt;7500),N24/1.18,N24)))</f>
        <v>0.118407096711985</v>
      </c>
      <c r="R24" s="15" t="n">
        <f aca="false">IF(OR(N24="",O24=""),"",((O24-N24)/1.18)/N24)</f>
        <v>0.105362247074224</v>
      </c>
      <c r="S24" s="15" t="n">
        <f aca="false">IF(OR(P24="",O24=""),"",(P24-O24)/O24)</f>
        <v>0.0483045178553052</v>
      </c>
      <c r="T24" s="9" t="str">
        <f aca="false">IF(AND(D24="",G24&lt;&gt;""),"no dates - assumed 1 night",IF(Q24="","",IF(Q24&gt;1.5,"check: markup &gt;150%",IF(Q24&lt;0,"below cost",""))))</f>
        <v/>
      </c>
    </row>
    <row r="25" customFormat="false" ht="15" hidden="false" customHeight="false" outlineLevel="0" collapsed="false">
      <c r="A25" s="9" t="s">
        <v>15</v>
      </c>
      <c r="B25" s="9" t="s">
        <v>218</v>
      </c>
      <c r="C25" s="9" t="s">
        <v>41</v>
      </c>
      <c r="D25" s="10" t="s">
        <v>42</v>
      </c>
      <c r="E25" s="10" t="s">
        <v>43</v>
      </c>
      <c r="F25" s="9" t="n">
        <f aca="false">IF(OR(D25="",E25=""),1,MAX(1,DATEVALUE(E25)-DATEVALUE(D25)))</f>
        <v>3</v>
      </c>
      <c r="G25" s="11" t="n">
        <v>24627</v>
      </c>
      <c r="H25" s="11" t="n">
        <v>26930</v>
      </c>
      <c r="I25" s="11"/>
      <c r="J25" s="11"/>
      <c r="K25" s="11"/>
      <c r="L25" s="12"/>
      <c r="M25" s="13"/>
      <c r="N25" s="14" t="n">
        <f aca="false">IF(G25="","",G25/F25)</f>
        <v>8209</v>
      </c>
      <c r="O25" s="14" t="n">
        <f aca="false">IF(COUNT(H25:K25)=0,"",MIN(H25:K25)/F25)</f>
        <v>8976.66666666667</v>
      </c>
      <c r="P25" s="14" t="str">
        <f aca="false">IF(L25="","",L25*95/F25)</f>
        <v/>
      </c>
      <c r="Q25" s="15" t="n">
        <f aca="false">IF(OR(N25="",O25=""),"",(IF(AND(N25&gt;7500,O25&gt;7500),O25/(1+IF(O25&lt;=1000,0,IF(O25&lt;=7500,0.05,0.18)))-IF(AND(N25&gt;7500,O25&gt;7500),N25/1.18,N25),(O25-IF(AND(N25&gt;7500,O25&gt;7500),N25/1.18,N25))/(1+IF(O25&lt;=1000,0,IF(O25&lt;=7500,0.05,0.18)))))/(IF(AND(N25&gt;7500,O25&gt;7500),N25/1.18,N25)))</f>
        <v>0.0935152474925893</v>
      </c>
      <c r="R25" s="15" t="n">
        <f aca="false">IF(OR(N25="",O25=""),"",((O25-N25)/1.18)/N25)</f>
        <v>0.0792502097394825</v>
      </c>
      <c r="S25" s="15" t="str">
        <f aca="false">IF(OR(P25="",O25=""),"",(P25-O25)/O25)</f>
        <v/>
      </c>
      <c r="T25" s="9" t="str">
        <f aca="false">IF(AND(D25="",G25&lt;&gt;""),"no dates - assumed 1 night",IF(Q25="","",IF(Q25&gt;1.5,"check: markup &gt;150%",IF(Q25&lt;0,"below cost",""))))</f>
        <v/>
      </c>
    </row>
    <row r="26" customFormat="false" ht="15" hidden="false" customHeight="false" outlineLevel="0" collapsed="false">
      <c r="A26" s="9" t="s">
        <v>15</v>
      </c>
      <c r="B26" s="9" t="s">
        <v>218</v>
      </c>
      <c r="C26" s="9" t="s">
        <v>44</v>
      </c>
      <c r="D26" s="10" t="s">
        <v>45</v>
      </c>
      <c r="E26" s="10" t="s">
        <v>46</v>
      </c>
      <c r="F26" s="9" t="n">
        <f aca="false">IF(OR(D26="",E26=""),1,MAX(1,DATEVALUE(E26)-DATEVALUE(D26)))</f>
        <v>3</v>
      </c>
      <c r="G26" s="11" t="n">
        <v>24260</v>
      </c>
      <c r="H26" s="11" t="n">
        <v>26527</v>
      </c>
      <c r="I26" s="11"/>
      <c r="J26" s="11"/>
      <c r="K26" s="11"/>
      <c r="L26" s="12"/>
      <c r="M26" s="13"/>
      <c r="N26" s="14" t="n">
        <f aca="false">IF(G26="","",G26/F26)</f>
        <v>8086.66666666667</v>
      </c>
      <c r="O26" s="14" t="n">
        <f aca="false">IF(COUNT(H26:K26)=0,"",MIN(H26:K26)/F26)</f>
        <v>8842.33333333333</v>
      </c>
      <c r="P26" s="14" t="str">
        <f aca="false">IF(L26="","",L26*95/F26)</f>
        <v/>
      </c>
      <c r="Q26" s="15" t="n">
        <f aca="false">IF(OR(N26="",O26=""),"",(IF(AND(N26&gt;7500,O26&gt;7500),O26/(1+IF(O26&lt;=1000,0,IF(O26&lt;=7500,0.05,0.18)))-IF(AND(N26&gt;7500,O26&gt;7500),N26/1.18,N26),(O26-IF(AND(N26&gt;7500,O26&gt;7500),N26/1.18,N26))/(1+IF(O26&lt;=1000,0,IF(O26&lt;=7500,0.05,0.18)))))/(IF(AND(N26&gt;7500,O26&gt;7500),N26/1.18,N26)))</f>
        <v>0.0934460016488046</v>
      </c>
      <c r="R26" s="15" t="n">
        <f aca="false">IF(OR(N26="",O26=""),"",((O26-N26)/1.18)/N26)</f>
        <v>0.0791915268210209</v>
      </c>
      <c r="S26" s="15" t="str">
        <f aca="false">IF(OR(P26="",O26=""),"",(P26-O26)/O26)</f>
        <v/>
      </c>
      <c r="T26" s="9" t="str">
        <f aca="false">IF(AND(D26="",G26&lt;&gt;""),"no dates - assumed 1 night",IF(Q26="","",IF(Q26&gt;1.5,"check: markup &gt;150%",IF(Q26&lt;0,"below cost",""))))</f>
        <v/>
      </c>
    </row>
    <row r="27" customFormat="false" ht="15" hidden="false" customHeight="false" outlineLevel="0" collapsed="false">
      <c r="A27" s="9" t="s">
        <v>15</v>
      </c>
      <c r="B27" s="9" t="s">
        <v>218</v>
      </c>
      <c r="C27" s="9" t="s">
        <v>47</v>
      </c>
      <c r="D27" s="10" t="s">
        <v>48</v>
      </c>
      <c r="E27" s="10" t="s">
        <v>49</v>
      </c>
      <c r="F27" s="9" t="n">
        <f aca="false">IF(OR(D27="",E27=""),1,MAX(1,DATEVALUE(E27)-DATEVALUE(D27)))</f>
        <v>3</v>
      </c>
      <c r="G27" s="11" t="n">
        <v>42372</v>
      </c>
      <c r="H27" s="11" t="n">
        <v>49029</v>
      </c>
      <c r="I27" s="11"/>
      <c r="J27" s="11"/>
      <c r="K27" s="11"/>
      <c r="L27" s="12"/>
      <c r="M27" s="13"/>
      <c r="N27" s="14" t="n">
        <f aca="false">IF(G27="","",G27/F27)</f>
        <v>14124</v>
      </c>
      <c r="O27" s="14" t="n">
        <f aca="false">IF(COUNT(H27:K27)=0,"",MIN(H27:K27)/F27)</f>
        <v>16343</v>
      </c>
      <c r="P27" s="14" t="str">
        <f aca="false">IF(L27="","",L27*95/F27)</f>
        <v/>
      </c>
      <c r="Q27" s="15" t="n">
        <f aca="false">IF(OR(N27="",O27=""),"",(IF(AND(N27&gt;7500,O27&gt;7500),O27/(1+IF(O27&lt;=1000,0,IF(O27&lt;=7500,0.05,0.18)))-IF(AND(N27&gt;7500,O27&gt;7500),N27/1.18,N27),(O27-IF(AND(N27&gt;7500,O27&gt;7500),N27/1.18,N27))/(1+IF(O27&lt;=1000,0,IF(O27&lt;=7500,0.05,0.18)))))/(IF(AND(N27&gt;7500,O27&gt;7500),N27/1.18,N27)))</f>
        <v>0.157108467856131</v>
      </c>
      <c r="R27" s="15" t="n">
        <f aca="false">IF(OR(N27="",O27=""),"",((O27-N27)/1.18)/N27)</f>
        <v>0.133142769369603</v>
      </c>
      <c r="S27" s="15" t="str">
        <f aca="false">IF(OR(P27="",O27=""),"",(P27-O27)/O27)</f>
        <v/>
      </c>
      <c r="T27" s="9" t="str">
        <f aca="false">IF(AND(D27="",G27&lt;&gt;""),"no dates - assumed 1 night",IF(Q27="","",IF(Q27&gt;1.5,"check: markup &gt;150%",IF(Q27&lt;0,"below cost",""))))</f>
        <v/>
      </c>
    </row>
    <row r="28" customFormat="false" ht="15" hidden="false" customHeight="false" outlineLevel="0" collapsed="false">
      <c r="A28" s="9" t="s">
        <v>15</v>
      </c>
      <c r="B28" s="9" t="s">
        <v>218</v>
      </c>
      <c r="C28" s="9" t="s">
        <v>50</v>
      </c>
      <c r="D28" s="10" t="s">
        <v>51</v>
      </c>
      <c r="E28" s="10" t="s">
        <v>52</v>
      </c>
      <c r="F28" s="9" t="n">
        <f aca="false">IF(OR(D28="",E28=""),1,MAX(1,DATEVALUE(E28)-DATEVALUE(D28)))</f>
        <v>3</v>
      </c>
      <c r="G28" s="11" t="n">
        <v>49155</v>
      </c>
      <c r="H28" s="11" t="n">
        <v>54017</v>
      </c>
      <c r="I28" s="11"/>
      <c r="J28" s="11"/>
      <c r="K28" s="11"/>
      <c r="L28" s="12"/>
      <c r="M28" s="13"/>
      <c r="N28" s="14" t="n">
        <f aca="false">IF(G28="","",G28/F28)</f>
        <v>16385</v>
      </c>
      <c r="O28" s="14" t="n">
        <f aca="false">IF(COUNT(H28:K28)=0,"",MIN(H28:K28)/F28)</f>
        <v>18005.6666666667</v>
      </c>
      <c r="P28" s="14" t="str">
        <f aca="false">IF(L28="","",L28*95/F28)</f>
        <v/>
      </c>
      <c r="Q28" s="15" t="n">
        <f aca="false">IF(OR(N28="",O28=""),"",(IF(AND(N28&gt;7500,O28&gt;7500),O28/(1+IF(O28&lt;=1000,0,IF(O28&lt;=7500,0.05,0.18)))-IF(AND(N28&gt;7500,O28&gt;7500),N28/1.18,N28),(O28-IF(AND(N28&gt;7500,O28&gt;7500),N28/1.18,N28))/(1+IF(O28&lt;=1000,0,IF(O28&lt;=7500,0.05,0.18)))))/(IF(AND(N28&gt;7500,O28&gt;7500),N28/1.18,N28)))</f>
        <v>0.0989116061438309</v>
      </c>
      <c r="R28" s="15" t="n">
        <f aca="false">IF(OR(N28="",O28=""),"",((O28-N28)/1.18)/N28)</f>
        <v>0.0838233950371448</v>
      </c>
      <c r="S28" s="15" t="str">
        <f aca="false">IF(OR(P28="",O28=""),"",(P28-O28)/O28)</f>
        <v/>
      </c>
      <c r="T28" s="9" t="str">
        <f aca="false">IF(AND(D28="",G28&lt;&gt;""),"no dates - assumed 1 night",IF(Q28="","",IF(Q28&gt;1.5,"check: markup &gt;150%",IF(Q28&lt;0,"below cost",""))))</f>
        <v/>
      </c>
    </row>
    <row r="29" customFormat="false" ht="15" hidden="false" customHeight="false" outlineLevel="0" collapsed="false">
      <c r="A29" s="9" t="s">
        <v>15</v>
      </c>
      <c r="B29" s="9" t="s">
        <v>219</v>
      </c>
      <c r="C29" s="9" t="s">
        <v>41</v>
      </c>
      <c r="D29" s="16"/>
      <c r="E29" s="16"/>
      <c r="F29" s="9" t="n">
        <f aca="false">IF(OR(D29="",E29=""),1,MAX(1,DATEVALUE(E29)-DATEVALUE(D29)))</f>
        <v>1</v>
      </c>
      <c r="G29" s="11" t="n">
        <v>27955</v>
      </c>
      <c r="H29" s="11" t="n">
        <v>32046</v>
      </c>
      <c r="I29" s="11"/>
      <c r="J29" s="11"/>
      <c r="K29" s="11"/>
      <c r="L29" s="12" t="n">
        <v>432.46</v>
      </c>
      <c r="M29" s="13" t="n">
        <v>0.12</v>
      </c>
      <c r="N29" s="14" t="n">
        <f aca="false">IF(G29="","",G29/F29)</f>
        <v>27955</v>
      </c>
      <c r="O29" s="14" t="n">
        <f aca="false">IF(COUNT(H29:K29)=0,"",MIN(H29:K29)/F29)</f>
        <v>32046</v>
      </c>
      <c r="P29" s="14" t="n">
        <f aca="false">IF(L29="","",L29*95/F29)</f>
        <v>41083.7</v>
      </c>
      <c r="Q29" s="15" t="n">
        <f aca="false">IF(OR(N29="",O29=""),"",(IF(AND(N29&gt;7500,O29&gt;7500),O29/(1+IF(O29&lt;=1000,0,IF(O29&lt;=7500,0.05,0.18)))-IF(AND(N29&gt;7500,O29&gt;7500),N29/1.18,N29),(O29-IF(AND(N29&gt;7500,O29&gt;7500),N29/1.18,N29))/(1+IF(O29&lt;=1000,0,IF(O29&lt;=7500,0.05,0.18)))))/(IF(AND(N29&gt;7500,O29&gt;7500),N29/1.18,N29)))</f>
        <v>0.146342335896977</v>
      </c>
      <c r="R29" s="15" t="n">
        <f aca="false">IF(OR(N29="",O29=""),"",((O29-N29)/1.18)/N29)</f>
        <v>0.124018928726252</v>
      </c>
      <c r="S29" s="15" t="n">
        <f aca="false">IF(OR(P29="",O29=""),"",(P29-O29)/O29)</f>
        <v>0.282022717343818</v>
      </c>
      <c r="T29" s="9" t="str">
        <f aca="false">IF(AND(D29="",G29&lt;&gt;""),"no dates - assumed 1 night",IF(Q29="","",IF(Q29&gt;1.5,"check: markup &gt;150%",IF(Q29&lt;0,"below cost",""))))</f>
        <v>no dates - assumed 1 night</v>
      </c>
    </row>
    <row r="30" customFormat="false" ht="15" hidden="false" customHeight="false" outlineLevel="0" collapsed="false">
      <c r="A30" s="9" t="s">
        <v>15</v>
      </c>
      <c r="B30" s="9" t="s">
        <v>219</v>
      </c>
      <c r="C30" s="9" t="s">
        <v>44</v>
      </c>
      <c r="D30" s="16"/>
      <c r="E30" s="16"/>
      <c r="F30" s="9" t="n">
        <f aca="false">IF(OR(D30="",E30=""),1,MAX(1,DATEVALUE(E30)-DATEVALUE(D30)))</f>
        <v>1</v>
      </c>
      <c r="G30" s="11" t="n">
        <v>23477</v>
      </c>
      <c r="H30" s="11" t="n">
        <v>27116</v>
      </c>
      <c r="I30" s="11"/>
      <c r="J30" s="11"/>
      <c r="K30" s="11"/>
      <c r="L30" s="12" t="n">
        <v>363.2</v>
      </c>
      <c r="M30" s="13" t="n">
        <v>0.12</v>
      </c>
      <c r="N30" s="14" t="n">
        <f aca="false">IF(G30="","",G30/F30)</f>
        <v>23477</v>
      </c>
      <c r="O30" s="14" t="n">
        <f aca="false">IF(COUNT(H30:K30)=0,"",MIN(H30:K30)/F30)</f>
        <v>27116</v>
      </c>
      <c r="P30" s="14" t="n">
        <f aca="false">IF(L30="","",L30*95/F30)</f>
        <v>34504</v>
      </c>
      <c r="Q30" s="15" t="n">
        <f aca="false">IF(OR(N30="",O30=""),"",(IF(AND(N30&gt;7500,O30&gt;7500),O30/(1+IF(O30&lt;=1000,0,IF(O30&lt;=7500,0.05,0.18)))-IF(AND(N30&gt;7500,O30&gt;7500),N30/1.18,N30),(O30-IF(AND(N30&gt;7500,O30&gt;7500),N30/1.18,N30))/(1+IF(O30&lt;=1000,0,IF(O30&lt;=7500,0.05,0.18)))))/(IF(AND(N30&gt;7500,O30&gt;7500),N30/1.18,N30)))</f>
        <v>0.155002768667206</v>
      </c>
      <c r="R30" s="15" t="n">
        <f aca="false">IF(OR(N30="",O30=""),"",((O30-N30)/1.18)/N30)</f>
        <v>0.131358278531531</v>
      </c>
      <c r="S30" s="15" t="n">
        <f aca="false">IF(OR(P30="",O30=""),"",(P30-O30)/O30)</f>
        <v>0.272459064758814</v>
      </c>
      <c r="T30" s="9" t="str">
        <f aca="false">IF(AND(D30="",G30&lt;&gt;""),"no dates - assumed 1 night",IF(Q30="","",IF(Q30&gt;1.5,"check: markup &gt;150%",IF(Q30&lt;0,"below cost",""))))</f>
        <v>no dates - assumed 1 night</v>
      </c>
    </row>
    <row r="31" customFormat="false" ht="15" hidden="false" customHeight="false" outlineLevel="0" collapsed="false">
      <c r="A31" s="9" t="s">
        <v>15</v>
      </c>
      <c r="B31" s="9" t="s">
        <v>219</v>
      </c>
      <c r="C31" s="9" t="s">
        <v>47</v>
      </c>
      <c r="D31" s="16"/>
      <c r="E31" s="16"/>
      <c r="F31" s="9" t="n">
        <f aca="false">IF(OR(D31="",E31=""),1,MAX(1,DATEVALUE(E31)-DATEVALUE(D31)))</f>
        <v>1</v>
      </c>
      <c r="G31" s="11" t="n">
        <v>54841</v>
      </c>
      <c r="H31" s="11" t="n">
        <v>70351</v>
      </c>
      <c r="I31" s="11"/>
      <c r="J31" s="11"/>
      <c r="K31" s="11"/>
      <c r="L31" s="12" t="n">
        <v>927.75</v>
      </c>
      <c r="M31" s="13"/>
      <c r="N31" s="14" t="n">
        <f aca="false">IF(G31="","",G31/F31)</f>
        <v>54841</v>
      </c>
      <c r="O31" s="14" t="n">
        <f aca="false">IF(COUNT(H31:K31)=0,"",MIN(H31:K31)/F31)</f>
        <v>70351</v>
      </c>
      <c r="P31" s="14" t="n">
        <f aca="false">IF(L31="","",L31*95/F31)</f>
        <v>88136.25</v>
      </c>
      <c r="Q31" s="15" t="n">
        <f aca="false">IF(OR(N31="",O31=""),"",(IF(AND(N31&gt;7500,O31&gt;7500),O31/(1+IF(O31&lt;=1000,0,IF(O31&lt;=7500,0.05,0.18)))-IF(AND(N31&gt;7500,O31&gt;7500),N31/1.18,N31),(O31-IF(AND(N31&gt;7500,O31&gt;7500),N31/1.18,N31))/(1+IF(O31&lt;=1000,0,IF(O31&lt;=7500,0.05,0.18)))))/(IF(AND(N31&gt;7500,O31&gt;7500),N31/1.18,N31)))</f>
        <v>0.282817599970825</v>
      </c>
      <c r="R31" s="15" t="n">
        <f aca="false">IF(OR(N31="",O31=""),"",((O31-N31)/1.18)/N31)</f>
        <v>0.239675932178665</v>
      </c>
      <c r="S31" s="15" t="n">
        <f aca="false">IF(OR(P31="",O31=""),"",(P31-O31)/O31)</f>
        <v>0.252807351707865</v>
      </c>
      <c r="T31" s="9" t="str">
        <f aca="false">IF(AND(D31="",G31&lt;&gt;""),"no dates - assumed 1 night",IF(Q31="","",IF(Q31&gt;1.5,"check: markup &gt;150%",IF(Q31&lt;0,"below cost",""))))</f>
        <v>no dates - assumed 1 night</v>
      </c>
    </row>
    <row r="32" customFormat="false" ht="15" hidden="false" customHeight="false" outlineLevel="0" collapsed="false">
      <c r="A32" s="9" t="s">
        <v>15</v>
      </c>
      <c r="B32" s="9" t="s">
        <v>219</v>
      </c>
      <c r="C32" s="9" t="s">
        <v>50</v>
      </c>
      <c r="D32" s="16"/>
      <c r="E32" s="16"/>
      <c r="F32" s="9" t="n">
        <f aca="false">IF(OR(D32="",E32=""),1,MAX(1,DATEVALUE(E32)-DATEVALUE(D32)))</f>
        <v>1</v>
      </c>
      <c r="G32" s="11" t="n">
        <v>74607</v>
      </c>
      <c r="H32" s="11" t="n">
        <v>81235</v>
      </c>
      <c r="I32" s="11"/>
      <c r="J32" s="11"/>
      <c r="K32" s="11"/>
      <c r="L32" s="12" t="n">
        <v>1360.7</v>
      </c>
      <c r="M32" s="13"/>
      <c r="N32" s="14" t="n">
        <f aca="false">IF(G32="","",G32/F32)</f>
        <v>74607</v>
      </c>
      <c r="O32" s="14" t="n">
        <f aca="false">IF(COUNT(H32:K32)=0,"",MIN(H32:K32)/F32)</f>
        <v>81235</v>
      </c>
      <c r="P32" s="14" t="n">
        <f aca="false">IF(L32="","",L32*95/F32)</f>
        <v>129266.5</v>
      </c>
      <c r="Q32" s="15" t="n">
        <f aca="false">IF(OR(N32="",O32=""),"",(IF(AND(N32&gt;7500,O32&gt;7500),O32/(1+IF(O32&lt;=1000,0,IF(O32&lt;=7500,0.05,0.18)))-IF(AND(N32&gt;7500,O32&gt;7500),N32/1.18,N32),(O32-IF(AND(N32&gt;7500,O32&gt;7500),N32/1.18,N32))/(1+IF(O32&lt;=1000,0,IF(O32&lt;=7500,0.05,0.18)))))/(IF(AND(N32&gt;7500,O32&gt;7500),N32/1.18,N32)))</f>
        <v>0.0888388489015776</v>
      </c>
      <c r="R32" s="15" t="n">
        <f aca="false">IF(OR(N32="",O32=""),"",((O32-N32)/1.18)/N32)</f>
        <v>0.0752871600860827</v>
      </c>
      <c r="S32" s="15" t="n">
        <f aca="false">IF(OR(P32="",O32=""),"",(P32-O32)/O32)</f>
        <v>0.591266079891672</v>
      </c>
      <c r="T32" s="9" t="str">
        <f aca="false">IF(AND(D32="",G32&lt;&gt;""),"no dates - assumed 1 night",IF(Q32="","",IF(Q32&gt;1.5,"check: markup &gt;150%",IF(Q32&lt;0,"below cost",""))))</f>
        <v>no dates - assumed 1 night</v>
      </c>
    </row>
    <row r="33" customFormat="false" ht="15" hidden="false" customHeight="false" outlineLevel="0" collapsed="false">
      <c r="A33" s="9" t="s">
        <v>15</v>
      </c>
      <c r="B33" s="9" t="s">
        <v>220</v>
      </c>
      <c r="C33" s="9" t="s">
        <v>41</v>
      </c>
      <c r="D33" s="16"/>
      <c r="E33" s="16"/>
      <c r="F33" s="9" t="n">
        <f aca="false">IF(OR(D33="",E33=""),1,MAX(1,DATEVALUE(E33)-DATEVALUE(D33)))</f>
        <v>1</v>
      </c>
      <c r="G33" s="11" t="n">
        <v>32296</v>
      </c>
      <c r="H33" s="11" t="n">
        <v>33231</v>
      </c>
      <c r="I33" s="11"/>
      <c r="J33" s="11"/>
      <c r="K33" s="11"/>
      <c r="L33" s="12" t="n">
        <v>303.29</v>
      </c>
      <c r="M33" s="13" t="n">
        <v>0.12</v>
      </c>
      <c r="N33" s="14" t="n">
        <f aca="false">IF(G33="","",G33/F33)</f>
        <v>32296</v>
      </c>
      <c r="O33" s="14" t="n">
        <f aca="false">IF(COUNT(H33:K33)=0,"",MIN(H33:K33)/F33)</f>
        <v>33231</v>
      </c>
      <c r="P33" s="14" t="n">
        <f aca="false">IF(L33="","",L33*95/F33)</f>
        <v>28812.55</v>
      </c>
      <c r="Q33" s="15" t="n">
        <f aca="false">IF(OR(N33="",O33=""),"",(IF(AND(N33&gt;7500,O33&gt;7500),O33/(1+IF(O33&lt;=1000,0,IF(O33&lt;=7500,0.05,0.18)))-IF(AND(N33&gt;7500,O33&gt;7500),N33/1.18,N33),(O33-IF(AND(N33&gt;7500,O33&gt;7500),N33/1.18,N33))/(1+IF(O33&lt;=1000,0,IF(O33&lt;=7500,0.05,0.18)))))/(IF(AND(N33&gt;7500,O33&gt;7500),N33/1.18,N33)))</f>
        <v>0.0289509536784741</v>
      </c>
      <c r="R33" s="15" t="n">
        <f aca="false">IF(OR(N33="",O33=""),"",((O33-N33)/1.18)/N33)</f>
        <v>0.0245347065071815</v>
      </c>
      <c r="S33" s="15" t="n">
        <f aca="false">IF(OR(P33="",O33=""),"",(P33-O33)/O33)</f>
        <v>-0.132961692395655</v>
      </c>
      <c r="T33" s="9" t="str">
        <f aca="false">IF(AND(D33="",G33&lt;&gt;""),"no dates - assumed 1 night",IF(Q33="","",IF(Q33&gt;1.5,"check: markup &gt;150%",IF(Q33&lt;0,"below cost",""))))</f>
        <v>no dates - assumed 1 night</v>
      </c>
    </row>
    <row r="34" customFormat="false" ht="15" hidden="false" customHeight="false" outlineLevel="0" collapsed="false">
      <c r="A34" s="9" t="s">
        <v>15</v>
      </c>
      <c r="B34" s="9" t="s">
        <v>220</v>
      </c>
      <c r="C34" s="9" t="s">
        <v>44</v>
      </c>
      <c r="D34" s="16"/>
      <c r="E34" s="16"/>
      <c r="F34" s="9" t="n">
        <f aca="false">IF(OR(D34="",E34=""),1,MAX(1,DATEVALUE(E34)-DATEVALUE(D34)))</f>
        <v>1</v>
      </c>
      <c r="G34" s="11" t="n">
        <v>20289</v>
      </c>
      <c r="H34" s="11" t="n">
        <v>21944</v>
      </c>
      <c r="I34" s="11"/>
      <c r="J34" s="11"/>
      <c r="K34" s="11"/>
      <c r="L34" s="12" t="n">
        <v>200.33</v>
      </c>
      <c r="M34" s="13" t="n">
        <v>0.12</v>
      </c>
      <c r="N34" s="14" t="n">
        <f aca="false">IF(G34="","",G34/F34)</f>
        <v>20289</v>
      </c>
      <c r="O34" s="14" t="n">
        <f aca="false">IF(COUNT(H34:K34)=0,"",MIN(H34:K34)/F34)</f>
        <v>21944</v>
      </c>
      <c r="P34" s="14" t="n">
        <f aca="false">IF(L34="","",L34*95/F34)</f>
        <v>19031.35</v>
      </c>
      <c r="Q34" s="15" t="n">
        <f aca="false">IF(OR(N34="",O34=""),"",(IF(AND(N34&gt;7500,O34&gt;7500),O34/(1+IF(O34&lt;=1000,0,IF(O34&lt;=7500,0.05,0.18)))-IF(AND(N34&gt;7500,O34&gt;7500),N34/1.18,N34),(O34-IF(AND(N34&gt;7500,O34&gt;7500),N34/1.18,N34))/(1+IF(O34&lt;=1000,0,IF(O34&lt;=7500,0.05,0.18)))))/(IF(AND(N34&gt;7500,O34&gt;7500),N34/1.18,N34)))</f>
        <v>0.0815712947902804</v>
      </c>
      <c r="R34" s="15" t="n">
        <f aca="false">IF(OR(N34="",O34=""),"",((O34-N34)/1.18)/N34)</f>
        <v>0.0691282159239665</v>
      </c>
      <c r="S34" s="15" t="n">
        <f aca="false">IF(OR(P34="",O34=""),"",(P34-O34)/O34)</f>
        <v>-0.132731042654028</v>
      </c>
      <c r="T34" s="9" t="str">
        <f aca="false">IF(AND(D34="",G34&lt;&gt;""),"no dates - assumed 1 night",IF(Q34="","",IF(Q34&gt;1.5,"check: markup &gt;150%",IF(Q34&lt;0,"below cost",""))))</f>
        <v>no dates - assumed 1 night</v>
      </c>
    </row>
    <row r="35" customFormat="false" ht="15" hidden="false" customHeight="false" outlineLevel="0" collapsed="false">
      <c r="A35" s="9" t="s">
        <v>15</v>
      </c>
      <c r="B35" s="9" t="s">
        <v>220</v>
      </c>
      <c r="C35" s="9" t="s">
        <v>47</v>
      </c>
      <c r="D35" s="16"/>
      <c r="E35" s="16"/>
      <c r="F35" s="9" t="n">
        <f aca="false">IF(OR(D35="",E35=""),1,MAX(1,DATEVALUE(E35)-DATEVALUE(D35)))</f>
        <v>1</v>
      </c>
      <c r="G35" s="11" t="n">
        <v>32707</v>
      </c>
      <c r="H35" s="11" t="n">
        <v>35247</v>
      </c>
      <c r="I35" s="11"/>
      <c r="J35" s="11"/>
      <c r="K35" s="11"/>
      <c r="L35" s="12" t="n">
        <v>321.63</v>
      </c>
      <c r="M35" s="13" t="n">
        <v>0.12</v>
      </c>
      <c r="N35" s="14" t="n">
        <f aca="false">IF(G35="","",G35/F35)</f>
        <v>32707</v>
      </c>
      <c r="O35" s="14" t="n">
        <f aca="false">IF(COUNT(H35:K35)=0,"",MIN(H35:K35)/F35)</f>
        <v>35247</v>
      </c>
      <c r="P35" s="14" t="n">
        <f aca="false">IF(L35="","",L35*95/F35)</f>
        <v>30554.85</v>
      </c>
      <c r="Q35" s="15" t="n">
        <f aca="false">IF(OR(N35="",O35=""),"",(IF(AND(N35&gt;7500,O35&gt;7500),O35/(1+IF(O35&lt;=1000,0,IF(O35&lt;=7500,0.05,0.18)))-IF(AND(N35&gt;7500,O35&gt;7500),N35/1.18,N35),(O35-IF(AND(N35&gt;7500,O35&gt;7500),N35/1.18,N35))/(1+IF(O35&lt;=1000,0,IF(O35&lt;=7500,0.05,0.18)))))/(IF(AND(N35&gt;7500,O35&gt;7500),N35/1.18,N35)))</f>
        <v>0.0776592166814443</v>
      </c>
      <c r="R35" s="15" t="n">
        <f aca="false">IF(OR(N35="",O35=""),"",((O35-N35)/1.18)/N35)</f>
        <v>0.0658128954927495</v>
      </c>
      <c r="S35" s="15" t="n">
        <f aca="false">IF(OR(P35="",O35=""),"",(P35-O35)/O35)</f>
        <v>-0.133121967827049</v>
      </c>
      <c r="T35" s="9" t="str">
        <f aca="false">IF(AND(D35="",G35&lt;&gt;""),"no dates - assumed 1 night",IF(Q35="","",IF(Q35&gt;1.5,"check: markup &gt;150%",IF(Q35&lt;0,"below cost",""))))</f>
        <v>no dates - assumed 1 night</v>
      </c>
    </row>
    <row r="36" customFormat="false" ht="15" hidden="false" customHeight="false" outlineLevel="0" collapsed="false">
      <c r="A36" s="9" t="s">
        <v>15</v>
      </c>
      <c r="B36" s="9" t="s">
        <v>220</v>
      </c>
      <c r="C36" s="9" t="s">
        <v>54</v>
      </c>
      <c r="D36" s="16"/>
      <c r="E36" s="16"/>
      <c r="F36" s="9" t="n">
        <f aca="false">IF(OR(D36="",E36=""),1,MAX(1,DATEVALUE(E36)-DATEVALUE(D36)))</f>
        <v>1</v>
      </c>
      <c r="G36" s="11" t="n">
        <v>36795</v>
      </c>
      <c r="H36" s="11" t="n">
        <v>39822</v>
      </c>
      <c r="I36" s="11"/>
      <c r="J36" s="11"/>
      <c r="K36" s="11"/>
      <c r="L36" s="12" t="n">
        <v>361.86</v>
      </c>
      <c r="M36" s="13" t="n">
        <v>0.12</v>
      </c>
      <c r="N36" s="14" t="n">
        <f aca="false">IF(G36="","",G36/F36)</f>
        <v>36795</v>
      </c>
      <c r="O36" s="14" t="n">
        <f aca="false">IF(COUNT(H36:K36)=0,"",MIN(H36:K36)/F36)</f>
        <v>39822</v>
      </c>
      <c r="P36" s="14" t="n">
        <f aca="false">IF(L36="","",L36*95/F36)</f>
        <v>34376.7</v>
      </c>
      <c r="Q36" s="15" t="n">
        <f aca="false">IF(OR(N36="",O36=""),"",(IF(AND(N36&gt;7500,O36&gt;7500),O36/(1+IF(O36&lt;=1000,0,IF(O36&lt;=7500,0.05,0.18)))-IF(AND(N36&gt;7500,O36&gt;7500),N36/1.18,N36),(O36-IF(AND(N36&gt;7500,O36&gt;7500),N36/1.18,N36))/(1+IF(O36&lt;=1000,0,IF(O36&lt;=7500,0.05,0.18)))))/(IF(AND(N36&gt;7500,O36&gt;7500),N36/1.18,N36)))</f>
        <v>0.0822666123114554</v>
      </c>
      <c r="R36" s="15" t="n">
        <f aca="false">IF(OR(N36="",O36=""),"",((O36-N36)/1.18)/N36)</f>
        <v>0.0697174680605554</v>
      </c>
      <c r="S36" s="15" t="n">
        <f aca="false">IF(OR(P36="",O36=""),"",(P36-O36)/O36)</f>
        <v>-0.136740997438602</v>
      </c>
      <c r="T36" s="9" t="str">
        <f aca="false">IF(AND(D36="",G36&lt;&gt;""),"no dates - assumed 1 night",IF(Q36="","",IF(Q36&gt;1.5,"check: markup &gt;150%",IF(Q36&lt;0,"below cost",""))))</f>
        <v>no dates - assumed 1 night</v>
      </c>
    </row>
    <row r="37" customFormat="false" ht="15" hidden="false" customHeight="false" outlineLevel="0" collapsed="false">
      <c r="A37" s="9" t="s">
        <v>15</v>
      </c>
      <c r="B37" s="9" t="s">
        <v>221</v>
      </c>
      <c r="C37" s="9" t="s">
        <v>41</v>
      </c>
      <c r="D37" s="16"/>
      <c r="E37" s="16"/>
      <c r="F37" s="9" t="n">
        <f aca="false">IF(OR(D37="",E37=""),1,MAX(1,DATEVALUE(E37)-DATEVALUE(D37)))</f>
        <v>1</v>
      </c>
      <c r="G37" s="11" t="n">
        <v>50348</v>
      </c>
      <c r="H37" s="11" t="n">
        <v>53690</v>
      </c>
      <c r="I37" s="11"/>
      <c r="J37" s="11"/>
      <c r="K37" s="11"/>
      <c r="L37" s="12" t="n">
        <v>562.83</v>
      </c>
      <c r="M37" s="13" t="n">
        <v>0.12</v>
      </c>
      <c r="N37" s="14" t="n">
        <f aca="false">IF(G37="","",G37/F37)</f>
        <v>50348</v>
      </c>
      <c r="O37" s="14" t="n">
        <f aca="false">IF(COUNT(H37:K37)=0,"",MIN(H37:K37)/F37)</f>
        <v>53690</v>
      </c>
      <c r="P37" s="14" t="n">
        <f aca="false">IF(L37="","",L37*95/F37)</f>
        <v>53468.85</v>
      </c>
      <c r="Q37" s="15" t="n">
        <f aca="false">IF(OR(N37="",O37=""),"",(IF(AND(N37&gt;7500,O37&gt;7500),O37/(1+IF(O37&lt;=1000,0,IF(O37&lt;=7500,0.05,0.18)))-IF(AND(N37&gt;7500,O37&gt;7500),N37/1.18,N37),(O37-IF(AND(N37&gt;7500,O37&gt;7500),N37/1.18,N37))/(1+IF(O37&lt;=1000,0,IF(O37&lt;=7500,0.05,0.18)))))/(IF(AND(N37&gt;7500,O37&gt;7500),N37/1.18,N37)))</f>
        <v>0.0663780090569636</v>
      </c>
      <c r="R37" s="15" t="n">
        <f aca="false">IF(OR(N37="",O37=""),"",((O37-N37)/1.18)/N37)</f>
        <v>0.0562525500482742</v>
      </c>
      <c r="S37" s="15" t="n">
        <f aca="false">IF(OR(P37="",O37=""),"",(P37-O37)/O37)</f>
        <v>-0.00411901657664359</v>
      </c>
      <c r="T37" s="9" t="str">
        <f aca="false">IF(AND(D37="",G37&lt;&gt;""),"no dates - assumed 1 night",IF(Q37="","",IF(Q37&gt;1.5,"check: markup &gt;150%",IF(Q37&lt;0,"below cost",""))))</f>
        <v>no dates - assumed 1 night</v>
      </c>
    </row>
    <row r="38" customFormat="false" ht="15" hidden="false" customHeight="false" outlineLevel="0" collapsed="false">
      <c r="A38" s="9" t="s">
        <v>15</v>
      </c>
      <c r="B38" s="9" t="s">
        <v>221</v>
      </c>
      <c r="C38" s="9" t="s">
        <v>44</v>
      </c>
      <c r="D38" s="16"/>
      <c r="E38" s="16"/>
      <c r="F38" s="9" t="n">
        <f aca="false">IF(OR(D38="",E38=""),1,MAX(1,DATEVALUE(E38)-DATEVALUE(D38)))</f>
        <v>1</v>
      </c>
      <c r="G38" s="11" t="n">
        <v>42525</v>
      </c>
      <c r="H38" s="11" t="n">
        <v>45430</v>
      </c>
      <c r="I38" s="11"/>
      <c r="J38" s="11"/>
      <c r="K38" s="11"/>
      <c r="L38" s="12" t="n">
        <v>476.23</v>
      </c>
      <c r="M38" s="13" t="n">
        <v>0.12</v>
      </c>
      <c r="N38" s="14" t="n">
        <f aca="false">IF(G38="","",G38/F38)</f>
        <v>42525</v>
      </c>
      <c r="O38" s="14" t="n">
        <f aca="false">IF(COUNT(H38:K38)=0,"",MIN(H38:K38)/F38)</f>
        <v>45430</v>
      </c>
      <c r="P38" s="14" t="n">
        <f aca="false">IF(L38="","",L38*95/F38)</f>
        <v>45241.85</v>
      </c>
      <c r="Q38" s="15" t="n">
        <f aca="false">IF(OR(N38="",O38=""),"",(IF(AND(N38&gt;7500,O38&gt;7500),O38/(1+IF(O38&lt;=1000,0,IF(O38&lt;=7500,0.05,0.18)))-IF(AND(N38&gt;7500,O38&gt;7500),N38/1.18,N38),(O38-IF(AND(N38&gt;7500,O38&gt;7500),N38/1.18,N38))/(1+IF(O38&lt;=1000,0,IF(O38&lt;=7500,0.05,0.18)))))/(IF(AND(N38&gt;7500,O38&gt;7500),N38/1.18,N38)))</f>
        <v>0.0683127572016459</v>
      </c>
      <c r="R38" s="15" t="n">
        <f aca="false">IF(OR(N38="",O38=""),"",((O38-N38)/1.18)/N38)</f>
        <v>0.0578921671200391</v>
      </c>
      <c r="S38" s="15" t="n">
        <f aca="false">IF(OR(P38="",O38=""),"",(P38-O38)/O38)</f>
        <v>-0.00414153642967206</v>
      </c>
      <c r="T38" s="9" t="str">
        <f aca="false">IF(AND(D38="",G38&lt;&gt;""),"no dates - assumed 1 night",IF(Q38="","",IF(Q38&gt;1.5,"check: markup &gt;150%",IF(Q38&lt;0,"below cost",""))))</f>
        <v>no dates - assumed 1 night</v>
      </c>
    </row>
    <row r="39" customFormat="false" ht="15" hidden="false" customHeight="false" outlineLevel="0" collapsed="false">
      <c r="A39" s="9" t="s">
        <v>15</v>
      </c>
      <c r="B39" s="9" t="s">
        <v>222</v>
      </c>
      <c r="C39" s="9" t="s">
        <v>41</v>
      </c>
      <c r="D39" s="16"/>
      <c r="E39" s="16"/>
      <c r="F39" s="9" t="n">
        <f aca="false">IF(OR(D39="",E39=""),1,MAX(1,DATEVALUE(E39)-DATEVALUE(D39)))</f>
        <v>1</v>
      </c>
      <c r="G39" s="11" t="n">
        <v>43331</v>
      </c>
      <c r="H39" s="11" t="n">
        <v>50146</v>
      </c>
      <c r="I39" s="11"/>
      <c r="J39" s="11"/>
      <c r="K39" s="11"/>
      <c r="L39" s="12" t="n">
        <v>525.7</v>
      </c>
      <c r="M39" s="13" t="n">
        <v>0.12</v>
      </c>
      <c r="N39" s="14" t="n">
        <f aca="false">IF(G39="","",G39/F39)</f>
        <v>43331</v>
      </c>
      <c r="O39" s="14" t="n">
        <f aca="false">IF(COUNT(H39:K39)=0,"",MIN(H39:K39)/F39)</f>
        <v>50146</v>
      </c>
      <c r="P39" s="14" t="n">
        <f aca="false">IF(L39="","",L39*95/F39)</f>
        <v>49941.5</v>
      </c>
      <c r="Q39" s="15" t="n">
        <f aca="false">IF(OR(N39="",O39=""),"",(IF(AND(N39&gt;7500,O39&gt;7500),O39/(1+IF(O39&lt;=1000,0,IF(O39&lt;=7500,0.05,0.18)))-IF(AND(N39&gt;7500,O39&gt;7500),N39/1.18,N39),(O39-IF(AND(N39&gt;7500,O39&gt;7500),N39/1.18,N39))/(1+IF(O39&lt;=1000,0,IF(O39&lt;=7500,0.05,0.18)))))/(IF(AND(N39&gt;7500,O39&gt;7500),N39/1.18,N39)))</f>
        <v>0.157277699568438</v>
      </c>
      <c r="R39" s="15" t="n">
        <f aca="false">IF(OR(N39="",O39=""),"",((O39-N39)/1.18)/N39)</f>
        <v>0.133286186074948</v>
      </c>
      <c r="S39" s="15" t="n">
        <f aca="false">IF(OR(P39="",O39=""),"",(P39-O39)/O39)</f>
        <v>-0.00407809197144324</v>
      </c>
      <c r="T39" s="9" t="str">
        <f aca="false">IF(AND(D39="",G39&lt;&gt;""),"no dates - assumed 1 night",IF(Q39="","",IF(Q39&gt;1.5,"check: markup &gt;150%",IF(Q39&lt;0,"below cost",""))))</f>
        <v>no dates - assumed 1 night</v>
      </c>
    </row>
    <row r="40" customFormat="false" ht="15" hidden="false" customHeight="false" outlineLevel="0" collapsed="false">
      <c r="A40" s="9" t="s">
        <v>15</v>
      </c>
      <c r="B40" s="9" t="s">
        <v>222</v>
      </c>
      <c r="C40" s="9" t="s">
        <v>44</v>
      </c>
      <c r="D40" s="16"/>
      <c r="E40" s="16"/>
      <c r="F40" s="9" t="n">
        <f aca="false">IF(OR(D40="",E40=""),1,MAX(1,DATEVALUE(E40)-DATEVALUE(D40)))</f>
        <v>1</v>
      </c>
      <c r="G40" s="11" t="n">
        <v>34811</v>
      </c>
      <c r="H40" s="11" t="n">
        <v>38346</v>
      </c>
      <c r="I40" s="11"/>
      <c r="J40" s="11"/>
      <c r="K40" s="11"/>
      <c r="L40" s="12" t="n">
        <v>401.98</v>
      </c>
      <c r="M40" s="13" t="n">
        <v>0.12</v>
      </c>
      <c r="N40" s="14" t="n">
        <f aca="false">IF(G40="","",G40/F40)</f>
        <v>34811</v>
      </c>
      <c r="O40" s="14" t="n">
        <f aca="false">IF(COUNT(H40:K40)=0,"",MIN(H40:K40)/F40)</f>
        <v>38346</v>
      </c>
      <c r="P40" s="14" t="n">
        <f aca="false">IF(L40="","",L40*95/F40)</f>
        <v>38188.1</v>
      </c>
      <c r="Q40" s="15" t="n">
        <f aca="false">IF(OR(N40="",O40=""),"",(IF(AND(N40&gt;7500,O40&gt;7500),O40/(1+IF(O40&lt;=1000,0,IF(O40&lt;=7500,0.05,0.18)))-IF(AND(N40&gt;7500,O40&gt;7500),N40/1.18,N40),(O40-IF(AND(N40&gt;7500,O40&gt;7500),N40/1.18,N40))/(1+IF(O40&lt;=1000,0,IF(O40&lt;=7500,0.05,0.18)))))/(IF(AND(N40&gt;7500,O40&gt;7500),N40/1.18,N40)))</f>
        <v>0.101548361150211</v>
      </c>
      <c r="R40" s="15" t="n">
        <f aca="false">IF(OR(N40="",O40=""),"",((O40-N40)/1.18)/N40)</f>
        <v>0.086057933178145</v>
      </c>
      <c r="S40" s="15" t="n">
        <f aca="false">IF(OR(P40="",O40=""),"",(P40-O40)/O40)</f>
        <v>-0.00411776978042042</v>
      </c>
      <c r="T40" s="9" t="str">
        <f aca="false">IF(AND(D40="",G40&lt;&gt;""),"no dates - assumed 1 night",IF(Q40="","",IF(Q40&gt;1.5,"check: markup &gt;150%",IF(Q40&lt;0,"below cost",""))))</f>
        <v>no dates - assumed 1 night</v>
      </c>
    </row>
    <row r="41" customFormat="false" ht="15" hidden="false" customHeight="false" outlineLevel="0" collapsed="false">
      <c r="A41" s="9" t="s">
        <v>15</v>
      </c>
      <c r="B41" s="9" t="s">
        <v>222</v>
      </c>
      <c r="C41" s="9" t="s">
        <v>47</v>
      </c>
      <c r="D41" s="16"/>
      <c r="E41" s="16"/>
      <c r="F41" s="9" t="n">
        <f aca="false">IF(OR(D41="",E41=""),1,MAX(1,DATEVALUE(E41)-DATEVALUE(D41)))</f>
        <v>1</v>
      </c>
      <c r="G41" s="11" t="n">
        <v>83599</v>
      </c>
      <c r="H41" s="11" t="n">
        <v>84956</v>
      </c>
      <c r="I41" s="11"/>
      <c r="J41" s="11"/>
      <c r="K41" s="11"/>
      <c r="L41" s="12" t="n">
        <v>808.51</v>
      </c>
      <c r="M41" s="13" t="n">
        <v>0.12</v>
      </c>
      <c r="N41" s="14" t="n">
        <f aca="false">IF(G41="","",G41/F41)</f>
        <v>83599</v>
      </c>
      <c r="O41" s="14" t="n">
        <f aca="false">IF(COUNT(H41:K41)=0,"",MIN(H41:K41)/F41)</f>
        <v>84956</v>
      </c>
      <c r="P41" s="14" t="n">
        <f aca="false">IF(L41="","",L41*95/F41)</f>
        <v>76808.45</v>
      </c>
      <c r="Q41" s="15" t="n">
        <f aca="false">IF(OR(N41="",O41=""),"",(IF(AND(N41&gt;7500,O41&gt;7500),O41/(1+IF(O41&lt;=1000,0,IF(O41&lt;=7500,0.05,0.18)))-IF(AND(N41&gt;7500,O41&gt;7500),N41/1.18,N41),(O41-IF(AND(N41&gt;7500,O41&gt;7500),N41/1.18,N41))/(1+IF(O41&lt;=1000,0,IF(O41&lt;=7500,0.05,0.18)))))/(IF(AND(N41&gt;7500,O41&gt;7500),N41/1.18,N41)))</f>
        <v>0.0162322515819567</v>
      </c>
      <c r="R41" s="15" t="n">
        <f aca="false">IF(OR(N41="",O41=""),"",((O41-N41)/1.18)/N41)</f>
        <v>0.0137561454084379</v>
      </c>
      <c r="S41" s="15" t="n">
        <f aca="false">IF(OR(P41="",O41=""),"",(P41-O41)/O41)</f>
        <v>-0.0959031734074109</v>
      </c>
      <c r="T41" s="9" t="str">
        <f aca="false">IF(AND(D41="",G41&lt;&gt;""),"no dates - assumed 1 night",IF(Q41="","",IF(Q41&gt;1.5,"check: markup &gt;150%",IF(Q41&lt;0,"below cost",""))))</f>
        <v>no dates - assumed 1 night</v>
      </c>
    </row>
    <row r="42" customFormat="false" ht="15" hidden="false" customHeight="false" outlineLevel="0" collapsed="false">
      <c r="A42" s="9" t="s">
        <v>15</v>
      </c>
      <c r="B42" s="9" t="s">
        <v>222</v>
      </c>
      <c r="C42" s="9" t="s">
        <v>50</v>
      </c>
      <c r="D42" s="16"/>
      <c r="E42" s="16"/>
      <c r="F42" s="9" t="n">
        <f aca="false">IF(OR(D42="",E42=""),1,MAX(1,DATEVALUE(E42)-DATEVALUE(D42)))</f>
        <v>1</v>
      </c>
      <c r="G42" s="11" t="n">
        <v>62661</v>
      </c>
      <c r="H42" s="11" t="n">
        <v>69026</v>
      </c>
      <c r="I42" s="11"/>
      <c r="J42" s="11"/>
      <c r="K42" s="11"/>
      <c r="L42" s="12" t="n">
        <v>723.61</v>
      </c>
      <c r="M42" s="13" t="n">
        <v>0.12</v>
      </c>
      <c r="N42" s="14" t="n">
        <f aca="false">IF(G42="","",G42/F42)</f>
        <v>62661</v>
      </c>
      <c r="O42" s="14" t="n">
        <f aca="false">IF(COUNT(H42:K42)=0,"",MIN(H42:K42)/F42)</f>
        <v>69026</v>
      </c>
      <c r="P42" s="14" t="n">
        <f aca="false">IF(L42="","",L42*95/F42)</f>
        <v>68742.95</v>
      </c>
      <c r="Q42" s="15" t="n">
        <f aca="false">IF(OR(N42="",O42=""),"",(IF(AND(N42&gt;7500,O42&gt;7500),O42/(1+IF(O42&lt;=1000,0,IF(O42&lt;=7500,0.05,0.18)))-IF(AND(N42&gt;7500,O42&gt;7500),N42/1.18,N42),(O42-IF(AND(N42&gt;7500,O42&gt;7500),N42/1.18,N42))/(1+IF(O42&lt;=1000,0,IF(O42&lt;=7500,0.05,0.18)))))/(IF(AND(N42&gt;7500,O42&gt;7500),N42/1.18,N42)))</f>
        <v>0.101578334211072</v>
      </c>
      <c r="R42" s="15" t="n">
        <f aca="false">IF(OR(N42="",O42=""),"",((O42-N42)/1.18)/N42)</f>
        <v>0.0860833340771799</v>
      </c>
      <c r="S42" s="15" t="n">
        <f aca="false">IF(OR(P42="",O42=""),"",(P42-O42)/O42)</f>
        <v>-0.00410062874858753</v>
      </c>
      <c r="T42" s="9" t="str">
        <f aca="false">IF(AND(D42="",G42&lt;&gt;""),"no dates - assumed 1 night",IF(Q42="","",IF(Q42&gt;1.5,"check: markup &gt;150%",IF(Q42&lt;0,"below cost",""))))</f>
        <v>no dates - assumed 1 night</v>
      </c>
    </row>
    <row r="43" customFormat="false" ht="15" hidden="false" customHeight="false" outlineLevel="0" collapsed="false">
      <c r="A43" s="9" t="s">
        <v>15</v>
      </c>
      <c r="B43" s="9" t="s">
        <v>223</v>
      </c>
      <c r="C43" s="9" t="s">
        <v>41</v>
      </c>
      <c r="D43" s="16"/>
      <c r="E43" s="16"/>
      <c r="F43" s="9" t="n">
        <f aca="false">IF(OR(D43="",E43=""),1,MAX(1,DATEVALUE(E43)-DATEVALUE(D43)))</f>
        <v>1</v>
      </c>
      <c r="G43" s="11" t="n">
        <v>32887</v>
      </c>
      <c r="H43" s="11" t="n">
        <v>37146</v>
      </c>
      <c r="I43" s="11"/>
      <c r="J43" s="11"/>
      <c r="K43" s="11"/>
      <c r="L43" s="12" t="n">
        <v>373.2</v>
      </c>
      <c r="M43" s="13" t="n">
        <v>0.05</v>
      </c>
      <c r="N43" s="14" t="n">
        <f aca="false">IF(G43="","",G43/F43)</f>
        <v>32887</v>
      </c>
      <c r="O43" s="14" t="n">
        <f aca="false">IF(COUNT(H43:K43)=0,"",MIN(H43:K43)/F43)</f>
        <v>37146</v>
      </c>
      <c r="P43" s="14" t="n">
        <f aca="false">IF(L43="","",L43*95/F43)</f>
        <v>35454</v>
      </c>
      <c r="Q43" s="15" t="n">
        <f aca="false">IF(OR(N43="",O43=""),"",(IF(AND(N43&gt;7500,O43&gt;7500),O43/(1+IF(O43&lt;=1000,0,IF(O43&lt;=7500,0.05,0.18)))-IF(AND(N43&gt;7500,O43&gt;7500),N43/1.18,N43),(O43-IF(AND(N43&gt;7500,O43&gt;7500),N43/1.18,N43))/(1+IF(O43&lt;=1000,0,IF(O43&lt;=7500,0.05,0.18)))))/(IF(AND(N43&gt;7500,O43&gt;7500),N43/1.18,N43)))</f>
        <v>0.12950405935476</v>
      </c>
      <c r="R43" s="15" t="n">
        <f aca="false">IF(OR(N43="",O43=""),"",((O43-N43)/1.18)/N43)</f>
        <v>0.109749202843017</v>
      </c>
      <c r="S43" s="15" t="n">
        <f aca="false">IF(OR(P43="",O43=""),"",(P43-O43)/O43)</f>
        <v>-0.0455499919237603</v>
      </c>
      <c r="T43" s="9" t="str">
        <f aca="false">IF(AND(D43="",G43&lt;&gt;""),"no dates - assumed 1 night",IF(Q43="","",IF(Q43&gt;1.5,"check: markup &gt;150%",IF(Q43&lt;0,"below cost",""))))</f>
        <v>no dates - assumed 1 night</v>
      </c>
    </row>
    <row r="44" customFormat="false" ht="15" hidden="false" customHeight="false" outlineLevel="0" collapsed="false">
      <c r="A44" s="9" t="s">
        <v>15</v>
      </c>
      <c r="B44" s="9" t="s">
        <v>223</v>
      </c>
      <c r="C44" s="9" t="s">
        <v>44</v>
      </c>
      <c r="D44" s="16"/>
      <c r="E44" s="16"/>
      <c r="F44" s="9" t="n">
        <f aca="false">IF(OR(D44="",E44=""),1,MAX(1,DATEVALUE(E44)-DATEVALUE(D44)))</f>
        <v>1</v>
      </c>
      <c r="G44" s="11" t="n">
        <v>29489</v>
      </c>
      <c r="H44" s="11" t="n">
        <v>33323</v>
      </c>
      <c r="I44" s="11"/>
      <c r="J44" s="11"/>
      <c r="K44" s="11"/>
      <c r="L44" s="12" t="n">
        <v>333.88</v>
      </c>
      <c r="M44" s="13" t="n">
        <v>0.06</v>
      </c>
      <c r="N44" s="14" t="n">
        <f aca="false">IF(G44="","",G44/F44)</f>
        <v>29489</v>
      </c>
      <c r="O44" s="14" t="n">
        <f aca="false">IF(COUNT(H44:K44)=0,"",MIN(H44:K44)/F44)</f>
        <v>33323</v>
      </c>
      <c r="P44" s="14" t="n">
        <f aca="false">IF(L44="","",L44*95/F44)</f>
        <v>31718.6</v>
      </c>
      <c r="Q44" s="15" t="n">
        <f aca="false">IF(OR(N44="",O44=""),"",(IF(AND(N44&gt;7500,O44&gt;7500),O44/(1+IF(O44&lt;=1000,0,IF(O44&lt;=7500,0.05,0.18)))-IF(AND(N44&gt;7500,O44&gt;7500),N44/1.18,N44),(O44-IF(AND(N44&gt;7500,O44&gt;7500),N44/1.18,N44))/(1+IF(O44&lt;=1000,0,IF(O44&lt;=7500,0.05,0.18)))))/(IF(AND(N44&gt;7500,O44&gt;7500),N44/1.18,N44)))</f>
        <v>0.130014581708434</v>
      </c>
      <c r="R44" s="15" t="n">
        <f aca="false">IF(OR(N44="",O44=""),"",((O44-N44)/1.18)/N44)</f>
        <v>0.110181848905452</v>
      </c>
      <c r="S44" s="15" t="n">
        <f aca="false">IF(OR(P44="",O44=""),"",(P44-O44)/O44)</f>
        <v>-0.0481469255469196</v>
      </c>
      <c r="T44" s="9" t="str">
        <f aca="false">IF(AND(D44="",G44&lt;&gt;""),"no dates - assumed 1 night",IF(Q44="","",IF(Q44&gt;1.5,"check: markup &gt;150%",IF(Q44&lt;0,"below cost",""))))</f>
        <v>no dates - assumed 1 night</v>
      </c>
    </row>
    <row r="45" customFormat="false" ht="15" hidden="false" customHeight="false" outlineLevel="0" collapsed="false">
      <c r="A45" s="9" t="s">
        <v>15</v>
      </c>
      <c r="B45" s="9" t="s">
        <v>223</v>
      </c>
      <c r="C45" s="9" t="s">
        <v>47</v>
      </c>
      <c r="D45" s="16"/>
      <c r="E45" s="16"/>
      <c r="F45" s="9" t="n">
        <f aca="false">IF(OR(D45="",E45=""),1,MAX(1,DATEVALUE(E45)-DATEVALUE(D45)))</f>
        <v>1</v>
      </c>
      <c r="G45" s="11" t="n">
        <v>46962</v>
      </c>
      <c r="H45" s="11" t="n">
        <v>54203</v>
      </c>
      <c r="I45" s="11"/>
      <c r="J45" s="11"/>
      <c r="K45" s="11"/>
      <c r="L45" s="12" t="n">
        <v>554.16</v>
      </c>
      <c r="M45" s="13" t="n">
        <v>0.12</v>
      </c>
      <c r="N45" s="14" t="n">
        <f aca="false">IF(G45="","",G45/F45)</f>
        <v>46962</v>
      </c>
      <c r="O45" s="14" t="n">
        <f aca="false">IF(COUNT(H45:K45)=0,"",MIN(H45:K45)/F45)</f>
        <v>54203</v>
      </c>
      <c r="P45" s="14" t="n">
        <f aca="false">IF(L45="","",L45*95/F45)</f>
        <v>52645.2</v>
      </c>
      <c r="Q45" s="15" t="n">
        <f aca="false">IF(OR(N45="",O45=""),"",(IF(AND(N45&gt;7500,O45&gt;7500),O45/(1+IF(O45&lt;=1000,0,IF(O45&lt;=7500,0.05,0.18)))-IF(AND(N45&gt;7500,O45&gt;7500),N45/1.18,N45),(O45-IF(AND(N45&gt;7500,O45&gt;7500),N45/1.18,N45))/(1+IF(O45&lt;=1000,0,IF(O45&lt;=7500,0.05,0.18)))))/(IF(AND(N45&gt;7500,O45&gt;7500),N45/1.18,N45)))</f>
        <v>0.154188492823985</v>
      </c>
      <c r="R45" s="15" t="n">
        <f aca="false">IF(OR(N45="",O45=""),"",((O45-N45)/1.18)/N45)</f>
        <v>0.130668214257615</v>
      </c>
      <c r="S45" s="15" t="n">
        <f aca="false">IF(OR(P45="",O45=""),"",(P45-O45)/O45)</f>
        <v>-0.0287401066361641</v>
      </c>
      <c r="T45" s="9" t="str">
        <f aca="false">IF(AND(D45="",G45&lt;&gt;""),"no dates - assumed 1 night",IF(Q45="","",IF(Q45&gt;1.5,"check: markup &gt;150%",IF(Q45&lt;0,"below cost",""))))</f>
        <v>no dates - assumed 1 night</v>
      </c>
    </row>
    <row r="46" customFormat="false" ht="15" hidden="false" customHeight="false" outlineLevel="0" collapsed="false">
      <c r="A46" s="9" t="s">
        <v>15</v>
      </c>
      <c r="B46" s="9" t="s">
        <v>223</v>
      </c>
      <c r="C46" s="9" t="s">
        <v>50</v>
      </c>
      <c r="D46" s="16"/>
      <c r="E46" s="16"/>
      <c r="F46" s="9" t="n">
        <f aca="false">IF(OR(D46="",E46=""),1,MAX(1,DATEVALUE(E46)-DATEVALUE(D46)))</f>
        <v>1</v>
      </c>
      <c r="G46" s="11" t="n">
        <v>54344</v>
      </c>
      <c r="H46" s="11" t="n">
        <v>60907</v>
      </c>
      <c r="I46" s="11"/>
      <c r="J46" s="11"/>
      <c r="K46" s="11"/>
      <c r="L46" s="12" t="n">
        <v>810.44</v>
      </c>
      <c r="M46" s="13" t="n">
        <v>0.12</v>
      </c>
      <c r="N46" s="14" t="n">
        <f aca="false">IF(G46="","",G46/F46)</f>
        <v>54344</v>
      </c>
      <c r="O46" s="14" t="n">
        <f aca="false">IF(COUNT(H46:K46)=0,"",MIN(H46:K46)/F46)</f>
        <v>60907</v>
      </c>
      <c r="P46" s="14" t="n">
        <f aca="false">IF(L46="","",L46*95/F46)</f>
        <v>76991.8</v>
      </c>
      <c r="Q46" s="15" t="n">
        <f aca="false">IF(OR(N46="",O46=""),"",(IF(AND(N46&gt;7500,O46&gt;7500),O46/(1+IF(O46&lt;=1000,0,IF(O46&lt;=7500,0.05,0.18)))-IF(AND(N46&gt;7500,O46&gt;7500),N46/1.18,N46),(O46-IF(AND(N46&gt;7500,O46&gt;7500),N46/1.18,N46))/(1+IF(O46&lt;=1000,0,IF(O46&lt;=7500,0.05,0.18)))))/(IF(AND(N46&gt;7500,O46&gt;7500),N46/1.18,N46)))</f>
        <v>0.120767702046224</v>
      </c>
      <c r="R46" s="15" t="n">
        <f aca="false">IF(OR(N46="",O46=""),"",((O46-N46)/1.18)/N46)</f>
        <v>0.102345510208664</v>
      </c>
      <c r="S46" s="15" t="n">
        <f aca="false">IF(OR(P46="",O46=""),"",(P46-O46)/O46)</f>
        <v>0.264087871673207</v>
      </c>
      <c r="T46" s="9" t="str">
        <f aca="false">IF(AND(D46="",G46&lt;&gt;""),"no dates - assumed 1 night",IF(Q46="","",IF(Q46&gt;1.5,"check: markup &gt;150%",IF(Q46&lt;0,"below cost",""))))</f>
        <v>no dates - assumed 1 night</v>
      </c>
    </row>
    <row r="47" customFormat="false" ht="15" hidden="false" customHeight="false" outlineLevel="0" collapsed="false">
      <c r="A47" s="9" t="s">
        <v>15</v>
      </c>
      <c r="B47" s="9" t="s">
        <v>223</v>
      </c>
      <c r="C47" s="9" t="s">
        <v>54</v>
      </c>
      <c r="D47" s="16"/>
      <c r="E47" s="16"/>
      <c r="F47" s="9" t="n">
        <f aca="false">IF(OR(D47="",E47=""),1,MAX(1,DATEVALUE(E47)-DATEVALUE(D47)))</f>
        <v>1</v>
      </c>
      <c r="G47" s="11" t="n">
        <v>35162</v>
      </c>
      <c r="H47" s="11" t="n">
        <v>40584</v>
      </c>
      <c r="I47" s="11"/>
      <c r="J47" s="11"/>
      <c r="K47" s="11"/>
      <c r="L47" s="12" t="n">
        <v>425.01</v>
      </c>
      <c r="M47" s="13" t="n">
        <v>0.07</v>
      </c>
      <c r="N47" s="14" t="n">
        <f aca="false">IF(G47="","",G47/F47)</f>
        <v>35162</v>
      </c>
      <c r="O47" s="14" t="n">
        <f aca="false">IF(COUNT(H47:K47)=0,"",MIN(H47:K47)/F47)</f>
        <v>40584</v>
      </c>
      <c r="P47" s="14" t="n">
        <f aca="false">IF(L47="","",L47*95/F47)</f>
        <v>40375.95</v>
      </c>
      <c r="Q47" s="15" t="n">
        <f aca="false">IF(OR(N47="",O47=""),"",(IF(AND(N47&gt;7500,O47&gt;7500),O47/(1+IF(O47&lt;=1000,0,IF(O47&lt;=7500,0.05,0.18)))-IF(AND(N47&gt;7500,O47&gt;7500),N47/1.18,N47),(O47-IF(AND(N47&gt;7500,O47&gt;7500),N47/1.18,N47))/(1+IF(O47&lt;=1000,0,IF(O47&lt;=7500,0.05,0.18)))))/(IF(AND(N47&gt;7500,O47&gt;7500),N47/1.18,N47)))</f>
        <v>0.154200557419942</v>
      </c>
      <c r="R47" s="15" t="n">
        <f aca="false">IF(OR(N47="",O47=""),"",((O47-N47)/1.18)/N47)</f>
        <v>0.130678438491476</v>
      </c>
      <c r="S47" s="15" t="n">
        <f aca="false">IF(OR(P47="",O47=""),"",(P47-O47)/O47)</f>
        <v>-0.00512640449438209</v>
      </c>
      <c r="T47" s="9" t="str">
        <f aca="false">IF(AND(D47="",G47&lt;&gt;""),"no dates - assumed 1 night",IF(Q47="","",IF(Q47&gt;1.5,"check: markup &gt;150%",IF(Q47&lt;0,"below cost",""))))</f>
        <v>no dates - assumed 1 night</v>
      </c>
    </row>
    <row r="48" customFormat="false" ht="15" hidden="false" customHeight="false" outlineLevel="0" collapsed="false">
      <c r="A48" s="9" t="s">
        <v>15</v>
      </c>
      <c r="B48" s="9" t="s">
        <v>224</v>
      </c>
      <c r="C48" s="9" t="s">
        <v>41</v>
      </c>
      <c r="D48" s="10" t="s">
        <v>42</v>
      </c>
      <c r="E48" s="10" t="s">
        <v>43</v>
      </c>
      <c r="F48" s="9" t="n">
        <f aca="false">IF(OR(D48="",E48=""),1,MAX(1,DATEVALUE(E48)-DATEVALUE(D48)))</f>
        <v>3</v>
      </c>
      <c r="G48" s="11" t="n">
        <v>19193</v>
      </c>
      <c r="H48" s="11" t="n">
        <v>19618</v>
      </c>
      <c r="I48" s="11"/>
      <c r="J48" s="11"/>
      <c r="K48" s="11"/>
      <c r="L48" s="12" t="n">
        <v>280.06</v>
      </c>
      <c r="M48" s="13" t="n">
        <v>0.12</v>
      </c>
      <c r="N48" s="14" t="n">
        <f aca="false">IF(G48="","",G48/F48)</f>
        <v>6397.66666666667</v>
      </c>
      <c r="O48" s="14" t="n">
        <f aca="false">IF(COUNT(H48:K48)=0,"",MIN(H48:K48)/F48)</f>
        <v>6539.33333333333</v>
      </c>
      <c r="P48" s="14" t="n">
        <f aca="false">IF(L48="","",L48*95/F48)</f>
        <v>8868.56666666667</v>
      </c>
      <c r="Q48" s="15" t="n">
        <f aca="false">IF(OR(N48="",O48=""),"",(IF(AND(N48&gt;7500,O48&gt;7500),O48/(1+IF(O48&lt;=1000,0,IF(O48&lt;=7500,0.05,0.18)))-IF(AND(N48&gt;7500,O48&gt;7500),N48/1.18,N48),(O48-IF(AND(N48&gt;7500,O48&gt;7500),N48/1.18,N48))/(1+IF(O48&lt;=1000,0,IF(O48&lt;=7500,0.05,0.18)))))/(IF(AND(N48&gt;7500,O48&gt;7500),N48/1.18,N48)))</f>
        <v>0.0210890379180901</v>
      </c>
      <c r="R48" s="15" t="n">
        <f aca="false">IF(OR(N48="",O48=""),"",((O48-N48)/1.18)/N48)</f>
        <v>0.0187656693338937</v>
      </c>
      <c r="S48" s="15" t="n">
        <f aca="false">IF(OR(P48="",O48=""),"",(P48-O48)/O48)</f>
        <v>0.356188194515241</v>
      </c>
      <c r="T48" s="9" t="str">
        <f aca="false">IF(AND(D48="",G48&lt;&gt;""),"no dates - assumed 1 night",IF(Q48="","",IF(Q48&gt;1.5,"check: markup &gt;150%",IF(Q48&lt;0,"below cost",""))))</f>
        <v/>
      </c>
    </row>
    <row r="49" customFormat="false" ht="15" hidden="false" customHeight="false" outlineLevel="0" collapsed="false">
      <c r="A49" s="9" t="s">
        <v>15</v>
      </c>
      <c r="B49" s="9" t="s">
        <v>224</v>
      </c>
      <c r="C49" s="9" t="s">
        <v>44</v>
      </c>
      <c r="D49" s="10" t="s">
        <v>45</v>
      </c>
      <c r="E49" s="10" t="s">
        <v>46</v>
      </c>
      <c r="F49" s="9" t="n">
        <f aca="false">IF(OR(D49="",E49=""),1,MAX(1,DATEVALUE(E49)-DATEVALUE(D49)))</f>
        <v>3</v>
      </c>
      <c r="G49" s="11" t="n">
        <v>21186</v>
      </c>
      <c r="H49" s="11" t="n">
        <v>29905</v>
      </c>
      <c r="I49" s="11"/>
      <c r="J49" s="11"/>
      <c r="K49" s="11"/>
      <c r="L49" s="12" t="n">
        <v>280.06</v>
      </c>
      <c r="M49" s="13" t="n">
        <v>0.12</v>
      </c>
      <c r="N49" s="14" t="n">
        <f aca="false">IF(G49="","",G49/F49)</f>
        <v>7062</v>
      </c>
      <c r="O49" s="14" t="n">
        <f aca="false">IF(COUNT(H49:K49)=0,"",MIN(H49:K49)/F49)</f>
        <v>9968.33333333333</v>
      </c>
      <c r="P49" s="14" t="n">
        <f aca="false">IF(L49="","",L49*95/F49)</f>
        <v>8868.56666666667</v>
      </c>
      <c r="Q49" s="15" t="n">
        <f aca="false">IF(OR(N49="",O49=""),"",(IF(AND(N49&gt;7500,O49&gt;7500),O49/(1+IF(O49&lt;=1000,0,IF(O49&lt;=7500,0.05,0.18)))-IF(AND(N49&gt;7500,O49&gt;7500),N49/1.18,N49),(O49-IF(AND(N49&gt;7500,O49&gt;7500),N49/1.18,N49))/(1+IF(O49&lt;=1000,0,IF(O49&lt;=7500,0.05,0.18)))))/(IF(AND(N49&gt;7500,O49&gt;7500),N49/1.18,N49)))</f>
        <v>0.348767254358891</v>
      </c>
      <c r="R49" s="15" t="n">
        <f aca="false">IF(OR(N49="",O49=""),"",((O49-N49)/1.18)/N49)</f>
        <v>0.348767254358891</v>
      </c>
      <c r="S49" s="15" t="n">
        <f aca="false">IF(OR(P49="",O49=""),"",(P49-O49)/O49)</f>
        <v>-0.110326032436047</v>
      </c>
      <c r="T49" s="9" t="str">
        <f aca="false">IF(AND(D49="",G49&lt;&gt;""),"no dates - assumed 1 night",IF(Q49="","",IF(Q49&gt;1.5,"check: markup &gt;150%",IF(Q49&lt;0,"below cost",""))))</f>
        <v/>
      </c>
    </row>
    <row r="50" customFormat="false" ht="15" hidden="false" customHeight="false" outlineLevel="0" collapsed="false">
      <c r="A50" s="9" t="s">
        <v>15</v>
      </c>
      <c r="B50" s="9" t="s">
        <v>224</v>
      </c>
      <c r="C50" s="9" t="s">
        <v>47</v>
      </c>
      <c r="D50" s="10" t="s">
        <v>145</v>
      </c>
      <c r="E50" s="10" t="s">
        <v>225</v>
      </c>
      <c r="F50" s="9" t="n">
        <f aca="false">IF(OR(D50="",E50=""),1,MAX(1,DATEVALUE(E50)-DATEVALUE(D50)))</f>
        <v>1</v>
      </c>
      <c r="G50" s="11" t="n">
        <v>16704</v>
      </c>
      <c r="H50" s="11" t="n">
        <v>23598</v>
      </c>
      <c r="I50" s="11"/>
      <c r="J50" s="11"/>
      <c r="K50" s="11"/>
      <c r="L50" s="12" t="n">
        <v>267.67</v>
      </c>
      <c r="M50" s="13" t="n">
        <v>0.12</v>
      </c>
      <c r="N50" s="14" t="n">
        <f aca="false">IF(G50="","",G50/F50)</f>
        <v>16704</v>
      </c>
      <c r="O50" s="14" t="n">
        <f aca="false">IF(COUNT(H50:K50)=0,"",MIN(H50:K50)/F50)</f>
        <v>23598</v>
      </c>
      <c r="P50" s="14" t="n">
        <f aca="false">IF(L50="","",L50*95/F50)</f>
        <v>25428.65</v>
      </c>
      <c r="Q50" s="15" t="n">
        <f aca="false">IF(OR(N50="",O50=""),"",(IF(AND(N50&gt;7500,O50&gt;7500),O50/(1+IF(O50&lt;=1000,0,IF(O50&lt;=7500,0.05,0.18)))-IF(AND(N50&gt;7500,O50&gt;7500),N50/1.18,N50),(O50-IF(AND(N50&gt;7500,O50&gt;7500),N50/1.18,N50))/(1+IF(O50&lt;=1000,0,IF(O50&lt;=7500,0.05,0.18)))))/(IF(AND(N50&gt;7500,O50&gt;7500),N50/1.18,N50)))</f>
        <v>0.412715517241379</v>
      </c>
      <c r="R50" s="15" t="n">
        <f aca="false">IF(OR(N50="",O50=""),"",((O50-N50)/1.18)/N50)</f>
        <v>0.349758912916423</v>
      </c>
      <c r="S50" s="15" t="n">
        <f aca="false">IF(OR(P50="",O50=""),"",(P50-O50)/O50)</f>
        <v>0.0775764895330113</v>
      </c>
      <c r="T50" s="9" t="str">
        <f aca="false">IF(AND(D50="",G50&lt;&gt;""),"no dates - assumed 1 night",IF(Q50="","",IF(Q50&gt;1.5,"check: markup &gt;150%",IF(Q50&lt;0,"below cost",""))))</f>
        <v/>
      </c>
    </row>
    <row r="51" customFormat="false" ht="15" hidden="false" customHeight="false" outlineLevel="0" collapsed="false">
      <c r="A51" s="9" t="s">
        <v>15</v>
      </c>
      <c r="B51" s="9" t="s">
        <v>224</v>
      </c>
      <c r="C51" s="9" t="s">
        <v>50</v>
      </c>
      <c r="D51" s="16"/>
      <c r="E51" s="16"/>
      <c r="F51" s="9" t="n">
        <f aca="false">IF(OR(D51="",E51=""),1,MAX(1,DATEVALUE(E51)-DATEVALUE(D51)))</f>
        <v>1</v>
      </c>
      <c r="G51" s="11" t="n">
        <v>105647</v>
      </c>
      <c r="H51" s="11"/>
      <c r="I51" s="11"/>
      <c r="J51" s="11"/>
      <c r="K51" s="11"/>
      <c r="L51" s="12" t="n">
        <v>1336.41</v>
      </c>
      <c r="M51" s="13" t="n">
        <v>0.12</v>
      </c>
      <c r="N51" s="14" t="n">
        <f aca="false">IF(G51="","",G51/F51)</f>
        <v>105647</v>
      </c>
      <c r="O51" s="14" t="str">
        <f aca="false">IF(COUNT(H51:K51)=0,"",MIN(H51:K51)/F51)</f>
        <v/>
      </c>
      <c r="P51" s="14" t="n">
        <f aca="false">IF(L51="","",L51*95/F51)</f>
        <v>126958.95</v>
      </c>
      <c r="Q51" s="15" t="str">
        <f aca="false">IF(OR(N51="",O51=""),"",(IF(AND(N51&gt;7500,O51&gt;7500),O51/(1+IF(O51&lt;=1000,0,IF(O51&lt;=7500,0.05,0.18)))-IF(AND(N51&gt;7500,O51&gt;7500),N51/1.18,N51),(O51-IF(AND(N51&gt;7500,O51&gt;7500),N51/1.18,N51))/(1+IF(O51&lt;=1000,0,IF(O51&lt;=7500,0.05,0.18)))))/(IF(AND(N51&gt;7500,O51&gt;7500),N51/1.18,N51)))</f>
        <v/>
      </c>
      <c r="R51" s="15" t="str">
        <f aca="false">IF(OR(N51="",O51=""),"",((O51-N51)/1.18)/N51)</f>
        <v/>
      </c>
      <c r="S51" s="15" t="str">
        <f aca="false">IF(OR(P51="",O51=""),"",(P51-O51)/O51)</f>
        <v/>
      </c>
      <c r="T51" s="9" t="str">
        <f aca="false">IF(AND(D51="",G51&lt;&gt;""),"no dates - assumed 1 night",IF(Q51="","",IF(Q51&gt;1.5,"check: markup &gt;150%",IF(Q51&lt;0,"below cost",""))))</f>
        <v>no dates - assumed 1 night</v>
      </c>
    </row>
    <row r="53" customFormat="false" ht="15" hidden="false" customHeight="false" outlineLevel="0" collapsed="false">
      <c r="A53" s="2" t="s">
        <v>86</v>
      </c>
    </row>
  </sheetData>
  <autoFilter ref="A1:T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11" min="7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9" min="17" style="0" width="10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8" t="s">
        <v>2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2" customFormat="false" ht="15" hidden="false" customHeight="false" outlineLevel="0" collapsed="false">
      <c r="A2" s="9" t="s">
        <v>16</v>
      </c>
      <c r="B2" s="9" t="s">
        <v>226</v>
      </c>
      <c r="C2" s="9" t="s">
        <v>41</v>
      </c>
      <c r="D2" s="10" t="s">
        <v>42</v>
      </c>
      <c r="E2" s="10" t="s">
        <v>43</v>
      </c>
      <c r="F2" s="9" t="n">
        <f aca="false">IF(OR(D2="",E2=""),1,MAX(1,DATEVALUE(E2)-DATEVALUE(D2)))</f>
        <v>3</v>
      </c>
      <c r="G2" s="11" t="n">
        <v>31217</v>
      </c>
      <c r="H2" s="11" t="n">
        <v>30979</v>
      </c>
      <c r="I2" s="11"/>
      <c r="J2" s="11"/>
      <c r="K2" s="11"/>
      <c r="L2" s="12"/>
      <c r="M2" s="13"/>
      <c r="N2" s="14" t="n">
        <f aca="false">IF(G2="","",G2/F2)</f>
        <v>10405.6666666667</v>
      </c>
      <c r="O2" s="14" t="n">
        <f aca="false">IF(COUNT(H2:K2)=0,"",MIN(H2:K2)/F2)</f>
        <v>10326.3333333333</v>
      </c>
      <c r="P2" s="14" t="str">
        <f aca="false">IF(L2="","",L2*95/F2)</f>
        <v/>
      </c>
      <c r="Q2" s="15" t="n">
        <f aca="false">IF(OR(N2="",O2=""),"",(IF(AND(N2&gt;7500,O2&gt;7500),O2/(1+IF(O2&lt;=1000,0,IF(O2&lt;=7500,0.05,0.18)))-IF(AND(N2&gt;7500,O2&gt;7500),N2/1.18,N2),(O2-IF(AND(N2&gt;7500,O2&gt;7500),N2/1.18,N2))/(1+IF(O2&lt;=1000,0,IF(O2&lt;=7500,0.05,0.18)))))/(IF(AND(N2&gt;7500,O2&gt;7500),N2/1.18,N2)))</f>
        <v>-0.00762405099785377</v>
      </c>
      <c r="R2" s="15" t="n">
        <f aca="false">IF(OR(N2="",O2=""),"",((O2-N2)/1.18)/N2)</f>
        <v>-0.00646106016767256</v>
      </c>
      <c r="S2" s="15" t="str">
        <f aca="false">IF(OR(P2="",O2=""),"",(P2-O2)/O2)</f>
        <v/>
      </c>
      <c r="T2" s="9" t="str">
        <f aca="false">IF(AND(D2="",G2&lt;&gt;""),"no dates - assumed 1 night",IF(Q2="","",IF(Q2&gt;1.5,"check: markup &gt;150%",IF(Q2&lt;0,"below cost",""))))</f>
        <v>below cost</v>
      </c>
    </row>
    <row r="3" customFormat="false" ht="15" hidden="false" customHeight="false" outlineLevel="0" collapsed="false">
      <c r="A3" s="9" t="s">
        <v>16</v>
      </c>
      <c r="B3" s="9" t="s">
        <v>226</v>
      </c>
      <c r="C3" s="9" t="s">
        <v>44</v>
      </c>
      <c r="D3" s="10" t="s">
        <v>45</v>
      </c>
      <c r="E3" s="10" t="s">
        <v>46</v>
      </c>
      <c r="F3" s="9" t="n">
        <f aca="false">IF(OR(D3="",E3=""),1,MAX(1,DATEVALUE(E3)-DATEVALUE(D3)))</f>
        <v>3</v>
      </c>
      <c r="G3" s="11" t="n">
        <v>22435</v>
      </c>
      <c r="H3" s="11" t="n">
        <v>22438</v>
      </c>
      <c r="I3" s="11"/>
      <c r="J3" s="11"/>
      <c r="K3" s="11"/>
      <c r="L3" s="12"/>
      <c r="M3" s="13"/>
      <c r="N3" s="14" t="n">
        <f aca="false">IF(G3="","",G3/F3)</f>
        <v>7478.33333333333</v>
      </c>
      <c r="O3" s="14" t="n">
        <f aca="false">IF(COUNT(H3:K3)=0,"",MIN(H3:K3)/F3)</f>
        <v>7479.33333333333</v>
      </c>
      <c r="P3" s="14" t="str">
        <f aca="false">IF(L3="","",L3*95/F3)</f>
        <v/>
      </c>
      <c r="Q3" s="15" t="n">
        <f aca="false">IF(OR(N3="",O3=""),"",(IF(AND(N3&gt;7500,O3&gt;7500),O3/(1+IF(O3&lt;=1000,0,IF(O3&lt;=7500,0.05,0.18)))-IF(AND(N3&gt;7500,O3&gt;7500),N3/1.18,N3),(O3-IF(AND(N3&gt;7500,O3&gt;7500),N3/1.18,N3))/(1+IF(O3&lt;=1000,0,IF(O3&lt;=7500,0.05,0.18)))))/(IF(AND(N3&gt;7500,O3&gt;7500),N3/1.18,N3)))</f>
        <v>0.000127352032856824</v>
      </c>
      <c r="R3" s="15" t="n">
        <f aca="false">IF(OR(N3="",O3=""),"",((O3-N3)/1.18)/N3)</f>
        <v>0.000113321724152259</v>
      </c>
      <c r="S3" s="15" t="str">
        <f aca="false">IF(OR(P3="",O3=""),"",(P3-O3)/O3)</f>
        <v/>
      </c>
      <c r="T3" s="9" t="str">
        <f aca="false">IF(AND(D3="",G3&lt;&gt;""),"no dates - assumed 1 night",IF(Q3="","",IF(Q3&gt;1.5,"check: markup &gt;150%",IF(Q3&lt;0,"below cost",""))))</f>
        <v/>
      </c>
    </row>
    <row r="4" customFormat="false" ht="15" hidden="false" customHeight="false" outlineLevel="0" collapsed="false">
      <c r="A4" s="9" t="s">
        <v>16</v>
      </c>
      <c r="B4" s="9" t="s">
        <v>226</v>
      </c>
      <c r="C4" s="9" t="s">
        <v>47</v>
      </c>
      <c r="D4" s="10" t="s">
        <v>48</v>
      </c>
      <c r="E4" s="10" t="s">
        <v>49</v>
      </c>
      <c r="F4" s="9" t="n">
        <f aca="false">IF(OR(D4="",E4=""),1,MAX(1,DATEVALUE(E4)-DATEVALUE(D4)))</f>
        <v>3</v>
      </c>
      <c r="G4" s="11" t="n">
        <v>29822</v>
      </c>
      <c r="H4" s="11" t="n">
        <v>31076</v>
      </c>
      <c r="I4" s="11"/>
      <c r="J4" s="11"/>
      <c r="K4" s="11"/>
      <c r="L4" s="12"/>
      <c r="M4" s="13"/>
      <c r="N4" s="14" t="n">
        <f aca="false">IF(G4="","",G4/F4)</f>
        <v>9940.66666666667</v>
      </c>
      <c r="O4" s="14" t="n">
        <f aca="false">IF(COUNT(H4:K4)=0,"",MIN(H4:K4)/F4)</f>
        <v>10358.6666666667</v>
      </c>
      <c r="P4" s="14" t="str">
        <f aca="false">IF(L4="","",L4*95/F4)</f>
        <v/>
      </c>
      <c r="Q4" s="15" t="n">
        <f aca="false">IF(OR(N4="",O4=""),"",(IF(AND(N4&gt;7500,O4&gt;7500),O4/(1+IF(O4&lt;=1000,0,IF(O4&lt;=7500,0.05,0.18)))-IF(AND(N4&gt;7500,O4&gt;7500),N4/1.18,N4),(O4-IF(AND(N4&gt;7500,O4&gt;7500),N4/1.18,N4))/(1+IF(O4&lt;=1000,0,IF(O4&lt;=7500,0.05,0.18)))))/(IF(AND(N4&gt;7500,O4&gt;7500),N4/1.18,N4)))</f>
        <v>0.0420494936623969</v>
      </c>
      <c r="R4" s="15" t="n">
        <f aca="false">IF(OR(N4="",O4=""),"",((O4-N4)/1.18)/N4)</f>
        <v>0.0356351641206753</v>
      </c>
      <c r="S4" s="15" t="str">
        <f aca="false">IF(OR(P4="",O4=""),"",(P4-O4)/O4)</f>
        <v/>
      </c>
      <c r="T4" s="9" t="str">
        <f aca="false">IF(AND(D4="",G4&lt;&gt;""),"no dates - assumed 1 night",IF(Q4="","",IF(Q4&gt;1.5,"check: markup &gt;150%",IF(Q4&lt;0,"below cost",""))))</f>
        <v/>
      </c>
    </row>
    <row r="5" customFormat="false" ht="15" hidden="false" customHeight="false" outlineLevel="0" collapsed="false">
      <c r="A5" s="9" t="s">
        <v>16</v>
      </c>
      <c r="B5" s="9" t="s">
        <v>226</v>
      </c>
      <c r="C5" s="9" t="s">
        <v>50</v>
      </c>
      <c r="D5" s="10" t="s">
        <v>51</v>
      </c>
      <c r="E5" s="10" t="s">
        <v>52</v>
      </c>
      <c r="F5" s="9" t="n">
        <f aca="false">IF(OR(D5="",E5=""),1,MAX(1,DATEVALUE(E5)-DATEVALUE(D5)))</f>
        <v>3</v>
      </c>
      <c r="G5" s="11" t="n">
        <v>92969</v>
      </c>
      <c r="H5" s="11" t="n">
        <v>96873</v>
      </c>
      <c r="I5" s="11"/>
      <c r="J5" s="11"/>
      <c r="K5" s="11"/>
      <c r="L5" s="12"/>
      <c r="M5" s="13"/>
      <c r="N5" s="14" t="n">
        <f aca="false">IF(G5="","",G5/F5)</f>
        <v>30989.6666666667</v>
      </c>
      <c r="O5" s="14" t="n">
        <f aca="false">IF(COUNT(H5:K5)=0,"",MIN(H5:K5)/F5)</f>
        <v>32291</v>
      </c>
      <c r="P5" s="14" t="str">
        <f aca="false">IF(L5="","",L5*95/F5)</f>
        <v/>
      </c>
      <c r="Q5" s="15" t="n">
        <f aca="false">IF(OR(N5="",O5=""),"",(IF(AND(N5&gt;7500,O5&gt;7500),O5/(1+IF(O5&lt;=1000,0,IF(O5&lt;=7500,0.05,0.18)))-IF(AND(N5&gt;7500,O5&gt;7500),N5/1.18,N5),(O5-IF(AND(N5&gt;7500,O5&gt;7500),N5/1.18,N5))/(1+IF(O5&lt;=1000,0,IF(O5&lt;=7500,0.05,0.18)))))/(IF(AND(N5&gt;7500,O5&gt;7500),N5/1.18,N5)))</f>
        <v>0.0419924921210295</v>
      </c>
      <c r="R5" s="15" t="n">
        <f aca="false">IF(OR(N5="",O5=""),"",((O5-N5)/1.18)/N5)</f>
        <v>0.0355868577296861</v>
      </c>
      <c r="S5" s="15" t="str">
        <f aca="false">IF(OR(P5="",O5=""),"",(P5-O5)/O5)</f>
        <v/>
      </c>
      <c r="T5" s="9" t="str">
        <f aca="false">IF(AND(D5="",G5&lt;&gt;""),"no dates - assumed 1 night",IF(Q5="","",IF(Q5&gt;1.5,"check: markup &gt;150%",IF(Q5&lt;0,"below cost",""))))</f>
        <v/>
      </c>
    </row>
    <row r="6" customFormat="false" ht="15" hidden="false" customHeight="false" outlineLevel="0" collapsed="false">
      <c r="A6" s="9" t="s">
        <v>16</v>
      </c>
      <c r="B6" s="9" t="s">
        <v>227</v>
      </c>
      <c r="C6" s="9" t="s">
        <v>41</v>
      </c>
      <c r="D6" s="10" t="s">
        <v>42</v>
      </c>
      <c r="E6" s="10" t="s">
        <v>43</v>
      </c>
      <c r="F6" s="9" t="n">
        <f aca="false">IF(OR(D6="",E6=""),1,MAX(1,DATEVALUE(E6)-DATEVALUE(D6)))</f>
        <v>3</v>
      </c>
      <c r="G6" s="11" t="n">
        <v>38274</v>
      </c>
      <c r="H6" s="11" t="n">
        <v>46020</v>
      </c>
      <c r="I6" s="11"/>
      <c r="J6" s="11"/>
      <c r="K6" s="11"/>
      <c r="L6" s="12"/>
      <c r="M6" s="13"/>
      <c r="N6" s="14" t="n">
        <f aca="false">IF(G6="","",G6/F6)</f>
        <v>12758</v>
      </c>
      <c r="O6" s="14" t="n">
        <f aca="false">IF(COUNT(H6:K6)=0,"",MIN(H6:K6)/F6)</f>
        <v>15340</v>
      </c>
      <c r="P6" s="14" t="str">
        <f aca="false">IF(L6="","",L6*95/F6)</f>
        <v/>
      </c>
      <c r="Q6" s="15" t="n">
        <f aca="false">IF(OR(N6="",O6=""),"",(IF(AND(N6&gt;7500,O6&gt;7500),O6/(1+IF(O6&lt;=1000,0,IF(O6&lt;=7500,0.05,0.18)))-IF(AND(N6&gt;7500,O6&gt;7500),N6/1.18,N6),(O6-IF(AND(N6&gt;7500,O6&gt;7500),N6/1.18,N6))/(1+IF(O6&lt;=1000,0,IF(O6&lt;=7500,0.05,0.18)))))/(IF(AND(N6&gt;7500,O6&gt;7500),N6/1.18,N6)))</f>
        <v>0.202382818623609</v>
      </c>
      <c r="R6" s="15" t="n">
        <f aca="false">IF(OR(N6="",O6=""),"",((O6-N6)/1.18)/N6)</f>
        <v>0.171510863240346</v>
      </c>
      <c r="S6" s="15" t="str">
        <f aca="false">IF(OR(P6="",O6=""),"",(P6-O6)/O6)</f>
        <v/>
      </c>
      <c r="T6" s="9" t="str">
        <f aca="false">IF(AND(D6="",G6&lt;&gt;""),"no dates - assumed 1 night",IF(Q6="","",IF(Q6&gt;1.5,"check: markup &gt;150%",IF(Q6&lt;0,"below cost",""))))</f>
        <v/>
      </c>
    </row>
    <row r="7" customFormat="false" ht="15" hidden="false" customHeight="false" outlineLevel="0" collapsed="false">
      <c r="A7" s="9" t="s">
        <v>16</v>
      </c>
      <c r="B7" s="9" t="s">
        <v>227</v>
      </c>
      <c r="C7" s="9" t="s">
        <v>44</v>
      </c>
      <c r="D7" s="10" t="s">
        <v>45</v>
      </c>
      <c r="E7" s="10" t="s">
        <v>46</v>
      </c>
      <c r="F7" s="9" t="n">
        <f aca="false">IF(OR(D7="",E7=""),1,MAX(1,DATEVALUE(E7)-DATEVALUE(D7)))</f>
        <v>3</v>
      </c>
      <c r="G7" s="11" t="n">
        <v>29442</v>
      </c>
      <c r="H7" s="11" t="n">
        <v>35400</v>
      </c>
      <c r="I7" s="11"/>
      <c r="J7" s="11"/>
      <c r="K7" s="11"/>
      <c r="L7" s="12"/>
      <c r="M7" s="13"/>
      <c r="N7" s="14" t="n">
        <f aca="false">IF(G7="","",G7/F7)</f>
        <v>9814</v>
      </c>
      <c r="O7" s="14" t="n">
        <f aca="false">IF(COUNT(H7:K7)=0,"",MIN(H7:K7)/F7)</f>
        <v>11800</v>
      </c>
      <c r="P7" s="14" t="str">
        <f aca="false">IF(L7="","",L7*95/F7)</f>
        <v/>
      </c>
      <c r="Q7" s="15" t="n">
        <f aca="false">IF(OR(N7="",O7=""),"",(IF(AND(N7&gt;7500,O7&gt;7500),O7/(1+IF(O7&lt;=1000,0,IF(O7&lt;=7500,0.05,0.18)))-IF(AND(N7&gt;7500,O7&gt;7500),N7/1.18,N7),(O7-IF(AND(N7&gt;7500,O7&gt;7500),N7/1.18,N7))/(1+IF(O7&lt;=1000,0,IF(O7&lt;=7500,0.05,0.18)))))/(IF(AND(N7&gt;7500,O7&gt;7500),N7/1.18,N7)))</f>
        <v>0.202363969839006</v>
      </c>
      <c r="R7" s="15" t="n">
        <f aca="false">IF(OR(N7="",O7=""),"",((O7-N7)/1.18)/N7)</f>
        <v>0.171494889694072</v>
      </c>
      <c r="S7" s="15" t="str">
        <f aca="false">IF(OR(P7="",O7=""),"",(P7-O7)/O7)</f>
        <v/>
      </c>
      <c r="T7" s="9" t="str">
        <f aca="false">IF(AND(D7="",G7&lt;&gt;""),"no dates - assumed 1 night",IF(Q7="","",IF(Q7&gt;1.5,"check: markup &gt;150%",IF(Q7&lt;0,"below cost",""))))</f>
        <v/>
      </c>
    </row>
    <row r="8" customFormat="false" ht="15" hidden="false" customHeight="false" outlineLevel="0" collapsed="false">
      <c r="A8" s="9" t="s">
        <v>16</v>
      </c>
      <c r="B8" s="9" t="s">
        <v>227</v>
      </c>
      <c r="C8" s="9" t="s">
        <v>47</v>
      </c>
      <c r="D8" s="10" t="s">
        <v>48</v>
      </c>
      <c r="E8" s="10" t="s">
        <v>49</v>
      </c>
      <c r="F8" s="9" t="n">
        <f aca="false">IF(OR(D8="",E8=""),1,MAX(1,DATEVALUE(E8)-DATEVALUE(D8)))</f>
        <v>3</v>
      </c>
      <c r="G8" s="11" t="n">
        <v>75077</v>
      </c>
      <c r="H8" s="11" t="n">
        <v>90270</v>
      </c>
      <c r="I8" s="11"/>
      <c r="J8" s="11"/>
      <c r="K8" s="11"/>
      <c r="L8" s="12"/>
      <c r="M8" s="13"/>
      <c r="N8" s="14" t="n">
        <f aca="false">IF(G8="","",G8/F8)</f>
        <v>25025.6666666667</v>
      </c>
      <c r="O8" s="14" t="n">
        <f aca="false">IF(COUNT(H8:K8)=0,"",MIN(H8:K8)/F8)</f>
        <v>30090</v>
      </c>
      <c r="P8" s="14" t="str">
        <f aca="false">IF(L8="","",L8*95/F8)</f>
        <v/>
      </c>
      <c r="Q8" s="15" t="n">
        <f aca="false">IF(OR(N8="",O8=""),"",(IF(AND(N8&gt;7500,O8&gt;7500),O8/(1+IF(O8&lt;=1000,0,IF(O8&lt;=7500,0.05,0.18)))-IF(AND(N8&gt;7500,O8&gt;7500),N8/1.18,N8),(O8-IF(AND(N8&gt;7500,O8&gt;7500),N8/1.18,N8))/(1+IF(O8&lt;=1000,0,IF(O8&lt;=7500,0.05,0.18)))))/(IF(AND(N8&gt;7500,O8&gt;7500),N8/1.18,N8)))</f>
        <v>0.202365571346751</v>
      </c>
      <c r="R8" s="15" t="n">
        <f aca="false">IF(OR(N8="",O8=""),"",((O8-N8)/1.18)/N8)</f>
        <v>0.171496246904026</v>
      </c>
      <c r="S8" s="15" t="str">
        <f aca="false">IF(OR(P8="",O8=""),"",(P8-O8)/O8)</f>
        <v/>
      </c>
      <c r="T8" s="9" t="str">
        <f aca="false">IF(AND(D8="",G8&lt;&gt;""),"no dates - assumed 1 night",IF(Q8="","",IF(Q8&gt;1.5,"check: markup &gt;150%",IF(Q8&lt;0,"below cost",""))))</f>
        <v/>
      </c>
    </row>
    <row r="9" customFormat="false" ht="15" hidden="false" customHeight="false" outlineLevel="0" collapsed="false">
      <c r="A9" s="9" t="s">
        <v>16</v>
      </c>
      <c r="B9" s="9" t="s">
        <v>228</v>
      </c>
      <c r="C9" s="9" t="s">
        <v>41</v>
      </c>
      <c r="D9" s="10" t="s">
        <v>42</v>
      </c>
      <c r="E9" s="10" t="s">
        <v>43</v>
      </c>
      <c r="F9" s="9" t="n">
        <f aca="false">IF(OR(D9="",E9=""),1,MAX(1,DATEVALUE(E9)-DATEVALUE(D9)))</f>
        <v>3</v>
      </c>
      <c r="G9" s="11" t="n">
        <v>28853</v>
      </c>
      <c r="H9" s="11" t="n">
        <v>31339</v>
      </c>
      <c r="I9" s="11"/>
      <c r="J9" s="11"/>
      <c r="K9" s="11"/>
      <c r="L9" s="12"/>
      <c r="M9" s="13"/>
      <c r="N9" s="14" t="n">
        <f aca="false">IF(G9="","",G9/F9)</f>
        <v>9617.66666666667</v>
      </c>
      <c r="O9" s="14" t="n">
        <f aca="false">IF(COUNT(H9:K9)=0,"",MIN(H9:K9)/F9)</f>
        <v>10446.3333333333</v>
      </c>
      <c r="P9" s="14" t="str">
        <f aca="false">IF(L9="","",L9*95/F9)</f>
        <v/>
      </c>
      <c r="Q9" s="15" t="n">
        <f aca="false">IF(OR(N9="",O9=""),"",(IF(AND(N9&gt;7500,O9&gt;7500),O9/(1+IF(O9&lt;=1000,0,IF(O9&lt;=7500,0.05,0.18)))-IF(AND(N9&gt;7500,O9&gt;7500),N9/1.18,N9),(O9-IF(AND(N9&gt;7500,O9&gt;7500),N9/1.18,N9))/(1+IF(O9&lt;=1000,0,IF(O9&lt;=7500,0.05,0.18)))))/(IF(AND(N9&gt;7500,O9&gt;7500),N9/1.18,N9)))</f>
        <v>0.0861608844834161</v>
      </c>
      <c r="R9" s="15" t="n">
        <f aca="false">IF(OR(N9="",O9=""),"",((O9-N9)/1.18)/N9)</f>
        <v>0.0730176987147594</v>
      </c>
      <c r="S9" s="15" t="str">
        <f aca="false">IF(OR(P9="",O9=""),"",(P9-O9)/O9)</f>
        <v/>
      </c>
      <c r="T9" s="9" t="str">
        <f aca="false">IF(AND(D9="",G9&lt;&gt;""),"no dates - assumed 1 night",IF(Q9="","",IF(Q9&gt;1.5,"check: markup &gt;150%",IF(Q9&lt;0,"below cost",""))))</f>
        <v/>
      </c>
    </row>
    <row r="10" customFormat="false" ht="15" hidden="false" customHeight="false" outlineLevel="0" collapsed="false">
      <c r="A10" s="9" t="s">
        <v>16</v>
      </c>
      <c r="B10" s="9" t="s">
        <v>228</v>
      </c>
      <c r="C10" s="9" t="s">
        <v>44</v>
      </c>
      <c r="D10" s="10" t="s">
        <v>45</v>
      </c>
      <c r="E10" s="10" t="s">
        <v>46</v>
      </c>
      <c r="F10" s="9" t="n">
        <f aca="false">IF(OR(D10="",E10=""),1,MAX(1,DATEVALUE(E10)-DATEVALUE(D10)))</f>
        <v>3</v>
      </c>
      <c r="G10" s="11" t="n">
        <v>20092</v>
      </c>
      <c r="H10" s="11" t="n">
        <v>22275</v>
      </c>
      <c r="I10" s="11"/>
      <c r="J10" s="11"/>
      <c r="K10" s="11"/>
      <c r="L10" s="12"/>
      <c r="M10" s="13"/>
      <c r="N10" s="14" t="n">
        <f aca="false">IF(G10="","",G10/F10)</f>
        <v>6697.33333333333</v>
      </c>
      <c r="O10" s="14" t="n">
        <f aca="false">IF(COUNT(H10:K10)=0,"",MIN(H10:K10)/F10)</f>
        <v>7425</v>
      </c>
      <c r="P10" s="14" t="str">
        <f aca="false">IF(L10="","",L10*95/F10)</f>
        <v/>
      </c>
      <c r="Q10" s="15" t="n">
        <f aca="false">IF(OR(N10="",O10=""),"",(IF(AND(N10&gt;7500,O10&gt;7500),O10/(1+IF(O10&lt;=1000,0,IF(O10&lt;=7500,0.05,0.18)))-IF(AND(N10&gt;7500,O10&gt;7500),N10/1.18,N10),(O10-IF(AND(N10&gt;7500,O10&gt;7500),N10/1.18,N10))/(1+IF(O10&lt;=1000,0,IF(O10&lt;=7500,0.05,0.18)))))/(IF(AND(N10&gt;7500,O10&gt;7500),N10/1.18,N10)))</f>
        <v>0.103476389560403</v>
      </c>
      <c r="R10" s="15" t="n">
        <f aca="false">IF(OR(N10="",O10=""),"",((O10-N10)/1.18)/N10)</f>
        <v>0.0920764483376469</v>
      </c>
      <c r="S10" s="15" t="str">
        <f aca="false">IF(OR(P10="",O10=""),"",(P10-O10)/O10)</f>
        <v/>
      </c>
      <c r="T10" s="9" t="str">
        <f aca="false">IF(AND(D10="",G10&lt;&gt;""),"no dates - assumed 1 night",IF(Q10="","",IF(Q10&gt;1.5,"check: markup &gt;150%",IF(Q10&lt;0,"below cost",""))))</f>
        <v/>
      </c>
    </row>
    <row r="11" customFormat="false" ht="15" hidden="false" customHeight="false" outlineLevel="0" collapsed="false">
      <c r="A11" s="9" t="s">
        <v>16</v>
      </c>
      <c r="B11" s="9" t="s">
        <v>228</v>
      </c>
      <c r="C11" s="9" t="s">
        <v>47</v>
      </c>
      <c r="D11" s="10" t="s">
        <v>48</v>
      </c>
      <c r="E11" s="10" t="s">
        <v>49</v>
      </c>
      <c r="F11" s="9" t="n">
        <f aca="false">IF(OR(D11="",E11=""),1,MAX(1,DATEVALUE(E11)-DATEVALUE(D11)))</f>
        <v>3</v>
      </c>
      <c r="G11" s="11" t="n">
        <v>37969</v>
      </c>
      <c r="H11" s="11" t="n">
        <v>48629</v>
      </c>
      <c r="I11" s="11"/>
      <c r="J11" s="11"/>
      <c r="K11" s="11"/>
      <c r="L11" s="12"/>
      <c r="M11" s="13"/>
      <c r="N11" s="14" t="n">
        <f aca="false">IF(G11="","",G11/F11)</f>
        <v>12656.3333333333</v>
      </c>
      <c r="O11" s="14" t="n">
        <f aca="false">IF(COUNT(H11:K11)=0,"",MIN(H11:K11)/F11)</f>
        <v>16209.6666666667</v>
      </c>
      <c r="P11" s="14" t="str">
        <f aca="false">IF(L11="","",L11*95/F11)</f>
        <v/>
      </c>
      <c r="Q11" s="15" t="n">
        <f aca="false">IF(OR(N11="",O11=""),"",(IF(AND(N11&gt;7500,O11&gt;7500),O11/(1+IF(O11&lt;=1000,0,IF(O11&lt;=7500,0.05,0.18)))-IF(AND(N11&gt;7500,O11&gt;7500),N11/1.18,N11),(O11-IF(AND(N11&gt;7500,O11&gt;7500),N11/1.18,N11))/(1+IF(O11&lt;=1000,0,IF(O11&lt;=7500,0.05,0.18)))))/(IF(AND(N11&gt;7500,O11&gt;7500),N11/1.18,N11)))</f>
        <v>0.280755353051173</v>
      </c>
      <c r="R11" s="15" t="n">
        <f aca="false">IF(OR(N11="",O11=""),"",((O11-N11)/1.18)/N11)</f>
        <v>0.237928265297604</v>
      </c>
      <c r="S11" s="15" t="str">
        <f aca="false">IF(OR(P11="",O11=""),"",(P11-O11)/O11)</f>
        <v/>
      </c>
      <c r="T11" s="9" t="str">
        <f aca="false">IF(AND(D11="",G11&lt;&gt;""),"no dates - assumed 1 night",IF(Q11="","",IF(Q11&gt;1.5,"check: markup &gt;150%",IF(Q11&lt;0,"below cost",""))))</f>
        <v/>
      </c>
    </row>
    <row r="12" customFormat="false" ht="15" hidden="false" customHeight="false" outlineLevel="0" collapsed="false">
      <c r="A12" s="9" t="s">
        <v>16</v>
      </c>
      <c r="B12" s="9" t="s">
        <v>228</v>
      </c>
      <c r="C12" s="9" t="s">
        <v>50</v>
      </c>
      <c r="D12" s="10" t="s">
        <v>51</v>
      </c>
      <c r="E12" s="10" t="s">
        <v>52</v>
      </c>
      <c r="F12" s="9" t="n">
        <f aca="false">IF(OR(D12="",E12=""),1,MAX(1,DATEVALUE(E12)-DATEVALUE(D12)))</f>
        <v>3</v>
      </c>
      <c r="G12" s="11" t="n">
        <v>68256</v>
      </c>
      <c r="H12" s="11" t="n">
        <v>72832</v>
      </c>
      <c r="I12" s="11"/>
      <c r="J12" s="11"/>
      <c r="K12" s="11"/>
      <c r="L12" s="12" t="n">
        <v>59436</v>
      </c>
      <c r="M12" s="13"/>
      <c r="N12" s="14" t="n">
        <f aca="false">IF(G12="","",G12/F12)</f>
        <v>22752</v>
      </c>
      <c r="O12" s="14" t="n">
        <f aca="false">IF(COUNT(H12:K12)=0,"",MIN(H12:K12)/F12)</f>
        <v>24277.3333333333</v>
      </c>
      <c r="P12" s="14" t="n">
        <f aca="false">IF(L12="","",L12*95/F12)</f>
        <v>1882140</v>
      </c>
      <c r="Q12" s="15" t="n">
        <f aca="false">IF(OR(N12="",O12=""),"",(IF(AND(N12&gt;7500,O12&gt;7500),O12/(1+IF(O12&lt;=1000,0,IF(O12&lt;=7500,0.05,0.18)))-IF(AND(N12&gt;7500,O12&gt;7500),N12/1.18,N12),(O12-IF(AND(N12&gt;7500,O12&gt;7500),N12/1.18,N12))/(1+IF(O12&lt;=1000,0,IF(O12&lt;=7500,0.05,0.18)))))/(IF(AND(N12&gt;7500,O12&gt;7500),N12/1.18,N12)))</f>
        <v>0.0670417252695733</v>
      </c>
      <c r="R12" s="15" t="n">
        <f aca="false">IF(OR(N12="",O12=""),"",((O12-N12)/1.18)/N12)</f>
        <v>0.0568150214148927</v>
      </c>
      <c r="S12" s="15" t="n">
        <f aca="false">IF(OR(P12="",O12=""),"",(P12-O12)/O12)</f>
        <v>76.5266366432337</v>
      </c>
      <c r="T12" s="9" t="str">
        <f aca="false">IF(AND(D12="",G12&lt;&gt;""),"no dates - assumed 1 night",IF(Q12="","",IF(Q12&gt;1.5,"check: markup &gt;150%",IF(Q12&lt;0,"below cost",""))))</f>
        <v/>
      </c>
    </row>
    <row r="13" customFormat="false" ht="15" hidden="false" customHeight="false" outlineLevel="0" collapsed="false">
      <c r="A13" s="9" t="s">
        <v>16</v>
      </c>
      <c r="B13" s="9" t="s">
        <v>229</v>
      </c>
      <c r="C13" s="9" t="s">
        <v>41</v>
      </c>
      <c r="D13" s="10" t="s">
        <v>88</v>
      </c>
      <c r="E13" s="10" t="s">
        <v>43</v>
      </c>
      <c r="F13" s="9" t="n">
        <f aca="false">IF(OR(D13="",E13=""),1,MAX(1,DATEVALUE(E13)-DATEVALUE(D13)))</f>
        <v>2</v>
      </c>
      <c r="G13" s="11" t="n">
        <v>19484</v>
      </c>
      <c r="H13" s="11" t="n">
        <v>25262</v>
      </c>
      <c r="I13" s="11"/>
      <c r="J13" s="11"/>
      <c r="K13" s="11"/>
      <c r="L13" s="12" t="n">
        <v>303.35</v>
      </c>
      <c r="M13" s="13" t="n">
        <v>0.07</v>
      </c>
      <c r="N13" s="14" t="n">
        <f aca="false">IF(G13="","",G13/F13)</f>
        <v>9742</v>
      </c>
      <c r="O13" s="14" t="n">
        <f aca="false">IF(COUNT(H13:K13)=0,"",MIN(H13:K13)/F13)</f>
        <v>12631</v>
      </c>
      <c r="P13" s="14" t="n">
        <f aca="false">IF(L13="","",L13*95/F13)</f>
        <v>14409.125</v>
      </c>
      <c r="Q13" s="15" t="n">
        <f aca="false">IF(OR(N13="",O13=""),"",(IF(AND(N13&gt;7500,O13&gt;7500),O13/(1+IF(O13&lt;=1000,0,IF(O13&lt;=7500,0.05,0.18)))-IF(AND(N13&gt;7500,O13&gt;7500),N13/1.18,N13),(O13-IF(AND(N13&gt;7500,O13&gt;7500),N13/1.18,N13))/(1+IF(O13&lt;=1000,0,IF(O13&lt;=7500,0.05,0.18)))))/(IF(AND(N13&gt;7500,O13&gt;7500),N13/1.18,N13)))</f>
        <v>0.296551016218436</v>
      </c>
      <c r="R13" s="15" t="n">
        <f aca="false">IF(OR(N13="",O13=""),"",((O13-N13)/1.18)/N13)</f>
        <v>0.251314420524098</v>
      </c>
      <c r="S13" s="15" t="n">
        <f aca="false">IF(OR(P13="",O13=""),"",(P13-O13)/O13)</f>
        <v>0.140774681339562</v>
      </c>
      <c r="T13" s="9" t="str">
        <f aca="false">IF(AND(D13="",G13&lt;&gt;""),"no dates - assumed 1 night",IF(Q13="","",IF(Q13&gt;1.5,"check: markup &gt;150%",IF(Q13&lt;0,"below cost",""))))</f>
        <v/>
      </c>
    </row>
    <row r="14" customFormat="false" ht="15" hidden="false" customHeight="false" outlineLevel="0" collapsed="false">
      <c r="A14" s="9" t="s">
        <v>16</v>
      </c>
      <c r="B14" s="9" t="s">
        <v>229</v>
      </c>
      <c r="C14" s="9" t="s">
        <v>44</v>
      </c>
      <c r="D14" s="10" t="s">
        <v>45</v>
      </c>
      <c r="E14" s="10" t="s">
        <v>89</v>
      </c>
      <c r="F14" s="9" t="n">
        <f aca="false">IF(OR(D14="",E14=""),1,MAX(1,DATEVALUE(E14)-DATEVALUE(D14)))</f>
        <v>2</v>
      </c>
      <c r="G14" s="11" t="n">
        <v>22601</v>
      </c>
      <c r="H14" s="11" t="n">
        <v>29869</v>
      </c>
      <c r="I14" s="11"/>
      <c r="J14" s="11"/>
      <c r="K14" s="11"/>
      <c r="L14" s="12" t="n">
        <v>229.75</v>
      </c>
      <c r="M14" s="13" t="n">
        <v>0.09</v>
      </c>
      <c r="N14" s="14" t="n">
        <f aca="false">IF(G14="","",G14/F14)</f>
        <v>11300.5</v>
      </c>
      <c r="O14" s="14" t="n">
        <f aca="false">IF(COUNT(H14:K14)=0,"",MIN(H14:K14)/F14)</f>
        <v>14934.5</v>
      </c>
      <c r="P14" s="14" t="n">
        <f aca="false">IF(L14="","",L14*95/F14)</f>
        <v>10913.125</v>
      </c>
      <c r="Q14" s="15" t="n">
        <f aca="false">IF(OR(N14="",O14=""),"",(IF(AND(N14&gt;7500,O14&gt;7500),O14/(1+IF(O14&lt;=1000,0,IF(O14&lt;=7500,0.05,0.18)))-IF(AND(N14&gt;7500,O14&gt;7500),N14/1.18,N14),(O14-IF(AND(N14&gt;7500,O14&gt;7500),N14/1.18,N14))/(1+IF(O14&lt;=1000,0,IF(O14&lt;=7500,0.05,0.18)))))/(IF(AND(N14&gt;7500,O14&gt;7500),N14/1.18,N14)))</f>
        <v>0.321578691208354</v>
      </c>
      <c r="R14" s="15" t="n">
        <f aca="false">IF(OR(N14="",O14=""),"",((O14-N14)/1.18)/N14)</f>
        <v>0.272524314583351</v>
      </c>
      <c r="S14" s="15" t="n">
        <f aca="false">IF(OR(P14="",O14=""),"",(P14-O14)/O14)</f>
        <v>-0.269267467943353</v>
      </c>
      <c r="T14" s="9" t="str">
        <f aca="false">IF(AND(D14="",G14&lt;&gt;""),"no dates - assumed 1 night",IF(Q14="","",IF(Q14&gt;1.5,"check: markup &gt;150%",IF(Q14&lt;0,"below cost",""))))</f>
        <v/>
      </c>
    </row>
    <row r="15" customFormat="false" ht="15" hidden="false" customHeight="false" outlineLevel="0" collapsed="false">
      <c r="A15" s="9" t="s">
        <v>16</v>
      </c>
      <c r="B15" s="9" t="s">
        <v>230</v>
      </c>
      <c r="C15" s="9" t="s">
        <v>41</v>
      </c>
      <c r="D15" s="16"/>
      <c r="E15" s="16"/>
      <c r="F15" s="9" t="n">
        <f aca="false">IF(OR(D15="",E15=""),1,MAX(1,DATEVALUE(E15)-DATEVALUE(D15)))</f>
        <v>1</v>
      </c>
      <c r="G15" s="11" t="n">
        <v>39474</v>
      </c>
      <c r="H15" s="11" t="n">
        <v>41064</v>
      </c>
      <c r="I15" s="11"/>
      <c r="J15" s="11"/>
      <c r="K15" s="11"/>
      <c r="L15" s="12"/>
      <c r="M15" s="13"/>
      <c r="N15" s="14" t="n">
        <f aca="false">IF(G15="","",G15/F15)</f>
        <v>39474</v>
      </c>
      <c r="O15" s="14" t="n">
        <f aca="false">IF(COUNT(H15:K15)=0,"",MIN(H15:K15)/F15)</f>
        <v>41064</v>
      </c>
      <c r="P15" s="14" t="str">
        <f aca="false">IF(L15="","",L15*95/F15)</f>
        <v/>
      </c>
      <c r="Q15" s="15" t="n">
        <f aca="false">IF(OR(N15="",O15=""),"",(IF(AND(N15&gt;7500,O15&gt;7500),O15/(1+IF(O15&lt;=1000,0,IF(O15&lt;=7500,0.05,0.18)))-IF(AND(N15&gt;7500,O15&gt;7500),N15/1.18,N15),(O15-IF(AND(N15&gt;7500,O15&gt;7500),N15/1.18,N15))/(1+IF(O15&lt;=1000,0,IF(O15&lt;=7500,0.05,0.18)))))/(IF(AND(N15&gt;7500,O15&gt;7500),N15/1.18,N15)))</f>
        <v>0.0402796777625779</v>
      </c>
      <c r="R15" s="15" t="n">
        <f aca="false">IF(OR(N15="",O15=""),"",((O15-N15)/1.18)/N15)</f>
        <v>0.0341353201377779</v>
      </c>
      <c r="S15" s="15" t="str">
        <f aca="false">IF(OR(P15="",O15=""),"",(P15-O15)/O15)</f>
        <v/>
      </c>
      <c r="T15" s="9" t="str">
        <f aca="false">IF(AND(D15="",G15&lt;&gt;""),"no dates - assumed 1 night",IF(Q15="","",IF(Q15&gt;1.5,"check: markup &gt;150%",IF(Q15&lt;0,"below cost",""))))</f>
        <v>no dates - assumed 1 night</v>
      </c>
    </row>
    <row r="16" customFormat="false" ht="15" hidden="false" customHeight="false" outlineLevel="0" collapsed="false">
      <c r="A16" s="9" t="s">
        <v>16</v>
      </c>
      <c r="B16" s="9" t="s">
        <v>230</v>
      </c>
      <c r="C16" s="9" t="s">
        <v>44</v>
      </c>
      <c r="D16" s="16"/>
      <c r="E16" s="16"/>
      <c r="F16" s="9" t="n">
        <f aca="false">IF(OR(D16="",E16=""),1,MAX(1,DATEVALUE(E16)-DATEVALUE(D16)))</f>
        <v>1</v>
      </c>
      <c r="G16" s="11" t="n">
        <v>44439</v>
      </c>
      <c r="H16" s="11" t="n">
        <v>47672</v>
      </c>
      <c r="I16" s="11"/>
      <c r="J16" s="11"/>
      <c r="K16" s="11"/>
      <c r="L16" s="12"/>
      <c r="M16" s="13"/>
      <c r="N16" s="14" t="n">
        <f aca="false">IF(G16="","",G16/F16)</f>
        <v>44439</v>
      </c>
      <c r="O16" s="14" t="n">
        <f aca="false">IF(COUNT(H16:K16)=0,"",MIN(H16:K16)/F16)</f>
        <v>47672</v>
      </c>
      <c r="P16" s="14" t="str">
        <f aca="false">IF(L16="","",L16*95/F16)</f>
        <v/>
      </c>
      <c r="Q16" s="15" t="n">
        <f aca="false">IF(OR(N16="",O16=""),"",(IF(AND(N16&gt;7500,O16&gt;7500),O16/(1+IF(O16&lt;=1000,0,IF(O16&lt;=7500,0.05,0.18)))-IF(AND(N16&gt;7500,O16&gt;7500),N16/1.18,N16),(O16-IF(AND(N16&gt;7500,O16&gt;7500),N16/1.18,N16))/(1+IF(O16&lt;=1000,0,IF(O16&lt;=7500,0.05,0.18)))))/(IF(AND(N16&gt;7500,O16&gt;7500),N16/1.18,N16)))</f>
        <v>0.0727514120479758</v>
      </c>
      <c r="R16" s="15" t="n">
        <f aca="false">IF(OR(N16="",O16=""),"",((O16-N16)/1.18)/N16)</f>
        <v>0.0616537390237084</v>
      </c>
      <c r="S16" s="15" t="str">
        <f aca="false">IF(OR(P16="",O16=""),"",(P16-O16)/O16)</f>
        <v/>
      </c>
      <c r="T16" s="9" t="str">
        <f aca="false">IF(AND(D16="",G16&lt;&gt;""),"no dates - assumed 1 night",IF(Q16="","",IF(Q16&gt;1.5,"check: markup &gt;150%",IF(Q16&lt;0,"below cost",""))))</f>
        <v>no dates - assumed 1 night</v>
      </c>
    </row>
    <row r="17" customFormat="false" ht="15" hidden="false" customHeight="false" outlineLevel="0" collapsed="false">
      <c r="A17" s="9" t="s">
        <v>16</v>
      </c>
      <c r="B17" s="9" t="s">
        <v>230</v>
      </c>
      <c r="C17" s="9" t="s">
        <v>47</v>
      </c>
      <c r="D17" s="16"/>
      <c r="E17" s="16"/>
      <c r="F17" s="9" t="n">
        <f aca="false">IF(OR(D17="",E17=""),1,MAX(1,DATEVALUE(E17)-DATEVALUE(D17)))</f>
        <v>1</v>
      </c>
      <c r="G17" s="11" t="n">
        <v>60022</v>
      </c>
      <c r="H17" s="11" t="n">
        <v>64251</v>
      </c>
      <c r="I17" s="11"/>
      <c r="J17" s="11"/>
      <c r="K17" s="11"/>
      <c r="L17" s="12"/>
      <c r="M17" s="13"/>
      <c r="N17" s="14" t="n">
        <f aca="false">IF(G17="","",G17/F17)</f>
        <v>60022</v>
      </c>
      <c r="O17" s="14" t="n">
        <f aca="false">IF(COUNT(H17:K17)=0,"",MIN(H17:K17)/F17)</f>
        <v>64251</v>
      </c>
      <c r="P17" s="14" t="str">
        <f aca="false">IF(L17="","",L17*95/F17)</f>
        <v/>
      </c>
      <c r="Q17" s="15" t="n">
        <f aca="false">IF(OR(N17="",O17=""),"",(IF(AND(N17&gt;7500,O17&gt;7500),O17/(1+IF(O17&lt;=1000,0,IF(O17&lt;=7500,0.05,0.18)))-IF(AND(N17&gt;7500,O17&gt;7500),N17/1.18,N17),(O17-IF(AND(N17&gt;7500,O17&gt;7500),N17/1.18,N17))/(1+IF(O17&lt;=1000,0,IF(O17&lt;=7500,0.05,0.18)))))/(IF(AND(N17&gt;7500,O17&gt;7500),N17/1.18,N17)))</f>
        <v>0.0704574989170637</v>
      </c>
      <c r="R17" s="15" t="n">
        <f aca="false">IF(OR(N17="",O17=""),"",((O17-N17)/1.18)/N17)</f>
        <v>0.0597097448449693</v>
      </c>
      <c r="S17" s="15" t="str">
        <f aca="false">IF(OR(P17="",O17=""),"",(P17-O17)/O17)</f>
        <v/>
      </c>
      <c r="T17" s="9" t="str">
        <f aca="false">IF(AND(D17="",G17&lt;&gt;""),"no dates - assumed 1 night",IF(Q17="","",IF(Q17&gt;1.5,"check: markup &gt;150%",IF(Q17&lt;0,"below cost",""))))</f>
        <v>no dates - assumed 1 night</v>
      </c>
    </row>
    <row r="18" customFormat="false" ht="15" hidden="false" customHeight="false" outlineLevel="0" collapsed="false">
      <c r="A18" s="9" t="s">
        <v>16</v>
      </c>
      <c r="B18" s="9" t="s">
        <v>230</v>
      </c>
      <c r="C18" s="9" t="s">
        <v>50</v>
      </c>
      <c r="D18" s="16"/>
      <c r="E18" s="16"/>
      <c r="F18" s="9" t="n">
        <f aca="false">IF(OR(D18="",E18=""),1,MAX(1,DATEVALUE(E18)-DATEVALUE(D18)))</f>
        <v>1</v>
      </c>
      <c r="G18" s="11" t="n">
        <v>84415</v>
      </c>
      <c r="H18" s="11" t="n">
        <v>90270</v>
      </c>
      <c r="I18" s="11"/>
      <c r="J18" s="11"/>
      <c r="K18" s="11"/>
      <c r="L18" s="12"/>
      <c r="M18" s="13"/>
      <c r="N18" s="14" t="n">
        <f aca="false">IF(G18="","",G18/F18)</f>
        <v>84415</v>
      </c>
      <c r="O18" s="14" t="n">
        <f aca="false">IF(COUNT(H18:K18)=0,"",MIN(H18:K18)/F18)</f>
        <v>90270</v>
      </c>
      <c r="P18" s="14" t="str">
        <f aca="false">IF(L18="","",L18*95/F18)</f>
        <v/>
      </c>
      <c r="Q18" s="15" t="n">
        <f aca="false">IF(OR(N18="",O18=""),"",(IF(AND(N18&gt;7500,O18&gt;7500),O18/(1+IF(O18&lt;=1000,0,IF(O18&lt;=7500,0.05,0.18)))-IF(AND(N18&gt;7500,O18&gt;7500),N18/1.18,N18),(O18-IF(AND(N18&gt;7500,O18&gt;7500),N18/1.18,N18))/(1+IF(O18&lt;=1000,0,IF(O18&lt;=7500,0.05,0.18)))))/(IF(AND(N18&gt;7500,O18&gt;7500),N18/1.18,N18)))</f>
        <v>0.069359710951845</v>
      </c>
      <c r="R18" s="15" t="n">
        <f aca="false">IF(OR(N18="",O18=""),"",((O18-N18)/1.18)/N18)</f>
        <v>0.0587794160608856</v>
      </c>
      <c r="S18" s="15" t="str">
        <f aca="false">IF(OR(P18="",O18=""),"",(P18-O18)/O18)</f>
        <v/>
      </c>
      <c r="T18" s="9" t="str">
        <f aca="false">IF(AND(D18="",G18&lt;&gt;""),"no dates - assumed 1 night",IF(Q18="","",IF(Q18&gt;1.5,"check: markup &gt;150%",IF(Q18&lt;0,"below cost",""))))</f>
        <v>no dates - assumed 1 night</v>
      </c>
    </row>
    <row r="19" customFormat="false" ht="15" hidden="false" customHeight="false" outlineLevel="0" collapsed="false">
      <c r="A19" s="9" t="s">
        <v>16</v>
      </c>
      <c r="B19" s="9" t="s">
        <v>231</v>
      </c>
      <c r="C19" s="9" t="s">
        <v>41</v>
      </c>
      <c r="D19" s="10" t="s">
        <v>42</v>
      </c>
      <c r="E19" s="10" t="s">
        <v>43</v>
      </c>
      <c r="F19" s="9" t="n">
        <f aca="false">IF(OR(D19="",E19=""),1,MAX(1,DATEVALUE(E19)-DATEVALUE(D19)))</f>
        <v>3</v>
      </c>
      <c r="G19" s="11" t="n">
        <v>28324</v>
      </c>
      <c r="H19" s="11" t="n">
        <v>30692</v>
      </c>
      <c r="I19" s="11"/>
      <c r="J19" s="11"/>
      <c r="K19" s="11"/>
      <c r="L19" s="12"/>
      <c r="M19" s="13"/>
      <c r="N19" s="14" t="n">
        <f aca="false">IF(G19="","",G19/F19)</f>
        <v>9441.33333333333</v>
      </c>
      <c r="O19" s="14" t="n">
        <f aca="false">IF(COUNT(H19:K19)=0,"",MIN(H19:K19)/F19)</f>
        <v>10230.6666666667</v>
      </c>
      <c r="P19" s="14" t="str">
        <f aca="false">IF(L19="","",L19*95/F19)</f>
        <v/>
      </c>
      <c r="Q19" s="15" t="n">
        <f aca="false">IF(OR(N19="",O19=""),"",(IF(AND(N19&gt;7500,O19&gt;7500),O19/(1+IF(O19&lt;=1000,0,IF(O19&lt;=7500,0.05,0.18)))-IF(AND(N19&gt;7500,O19&gt;7500),N19/1.18,N19),(O19-IF(AND(N19&gt;7500,O19&gt;7500),N19/1.18,N19))/(1+IF(O19&lt;=1000,0,IF(O19&lt;=7500,0.05,0.18)))))/(IF(AND(N19&gt;7500,O19&gt;7500),N19/1.18,N19)))</f>
        <v>0.0836040107329472</v>
      </c>
      <c r="R19" s="15" t="n">
        <f aca="false">IF(OR(N19="",O19=""),"",((O19-N19)/1.18)/N19)</f>
        <v>0.0708508565533451</v>
      </c>
      <c r="S19" s="15" t="str">
        <f aca="false">IF(OR(P19="",O19=""),"",(P19-O19)/O19)</f>
        <v/>
      </c>
      <c r="T19" s="9" t="str">
        <f aca="false">IF(AND(D19="",G19&lt;&gt;""),"no dates - assumed 1 night",IF(Q19="","",IF(Q19&gt;1.5,"check: markup &gt;150%",IF(Q19&lt;0,"below cost",""))))</f>
        <v/>
      </c>
    </row>
    <row r="20" customFormat="false" ht="15" hidden="false" customHeight="false" outlineLevel="0" collapsed="false">
      <c r="A20" s="9" t="s">
        <v>16</v>
      </c>
      <c r="B20" s="9" t="s">
        <v>231</v>
      </c>
      <c r="C20" s="9" t="s">
        <v>44</v>
      </c>
      <c r="D20" s="10" t="s">
        <v>45</v>
      </c>
      <c r="E20" s="10" t="s">
        <v>46</v>
      </c>
      <c r="F20" s="9" t="n">
        <f aca="false">IF(OR(D20="",E20=""),1,MAX(1,DATEVALUE(E20)-DATEVALUE(D20)))</f>
        <v>3</v>
      </c>
      <c r="G20" s="11" t="n">
        <v>28685</v>
      </c>
      <c r="H20" s="11" t="n">
        <v>30692</v>
      </c>
      <c r="I20" s="11"/>
      <c r="J20" s="11"/>
      <c r="K20" s="11"/>
      <c r="L20" s="12"/>
      <c r="M20" s="13"/>
      <c r="N20" s="14" t="n">
        <f aca="false">IF(G20="","",G20/F20)</f>
        <v>9561.66666666667</v>
      </c>
      <c r="O20" s="14" t="n">
        <f aca="false">IF(COUNT(H20:K20)=0,"",MIN(H20:K20)/F20)</f>
        <v>10230.6666666667</v>
      </c>
      <c r="P20" s="14" t="str">
        <f aca="false">IF(L20="","",L20*95/F20)</f>
        <v/>
      </c>
      <c r="Q20" s="15" t="n">
        <f aca="false">IF(OR(N20="",O20=""),"",(IF(AND(N20&gt;7500,O20&gt;7500),O20/(1+IF(O20&lt;=1000,0,IF(O20&lt;=7500,0.05,0.18)))-IF(AND(N20&gt;7500,O20&gt;7500),N20/1.18,N20),(O20-IF(AND(N20&gt;7500,O20&gt;7500),N20/1.18,N20))/(1+IF(O20&lt;=1000,0,IF(O20&lt;=7500,0.05,0.18)))))/(IF(AND(N20&gt;7500,O20&gt;7500),N20/1.18,N20)))</f>
        <v>0.0699668816454593</v>
      </c>
      <c r="R20" s="15" t="n">
        <f aca="false">IF(OR(N20="",O20=""),"",((O20-N20)/1.18)/N20)</f>
        <v>0.059293967496152</v>
      </c>
      <c r="S20" s="15" t="str">
        <f aca="false">IF(OR(P20="",O20=""),"",(P20-O20)/O20)</f>
        <v/>
      </c>
      <c r="T20" s="9" t="str">
        <f aca="false">IF(AND(D20="",G20&lt;&gt;""),"no dates - assumed 1 night",IF(Q20="","",IF(Q20&gt;1.5,"check: markup &gt;150%",IF(Q20&lt;0,"below cost",""))))</f>
        <v/>
      </c>
    </row>
    <row r="21" customFormat="false" ht="15" hidden="false" customHeight="false" outlineLevel="0" collapsed="false">
      <c r="A21" s="9" t="s">
        <v>16</v>
      </c>
      <c r="B21" s="9" t="s">
        <v>231</v>
      </c>
      <c r="C21" s="9" t="s">
        <v>47</v>
      </c>
      <c r="D21" s="10" t="s">
        <v>48</v>
      </c>
      <c r="E21" s="10" t="s">
        <v>49</v>
      </c>
      <c r="F21" s="9" t="n">
        <f aca="false">IF(OR(D21="",E21=""),1,MAX(1,DATEVALUE(E21)-DATEVALUE(D21)))</f>
        <v>3</v>
      </c>
      <c r="G21" s="11" t="n">
        <v>32802</v>
      </c>
      <c r="H21" s="11" t="n">
        <v>35506</v>
      </c>
      <c r="I21" s="11"/>
      <c r="J21" s="11"/>
      <c r="K21" s="11"/>
      <c r="L21" s="12"/>
      <c r="M21" s="13"/>
      <c r="N21" s="14" t="n">
        <f aca="false">IF(G21="","",G21/F21)</f>
        <v>10934</v>
      </c>
      <c r="O21" s="14" t="n">
        <f aca="false">IF(COUNT(H21:K21)=0,"",MIN(H21:K21)/F21)</f>
        <v>11835.3333333333</v>
      </c>
      <c r="P21" s="14" t="str">
        <f aca="false">IF(L21="","",L21*95/F21)</f>
        <v/>
      </c>
      <c r="Q21" s="15" t="n">
        <f aca="false">IF(OR(N21="",O21=""),"",(IF(AND(N21&gt;7500,O21&gt;7500),O21/(1+IF(O21&lt;=1000,0,IF(O21&lt;=7500,0.05,0.18)))-IF(AND(N21&gt;7500,O21&gt;7500),N21/1.18,N21),(O21-IF(AND(N21&gt;7500,O21&gt;7500),N21/1.18,N21))/(1+IF(O21&lt;=1000,0,IF(O21&lt;=7500,0.05,0.18)))))/(IF(AND(N21&gt;7500,O21&gt;7500),N21/1.18,N21)))</f>
        <v>0.0824339979269557</v>
      </c>
      <c r="R21" s="15" t="n">
        <f aca="false">IF(OR(N21="",O21=""),"",((O21-N21)/1.18)/N21)</f>
        <v>0.0698593202770811</v>
      </c>
      <c r="S21" s="15" t="str">
        <f aca="false">IF(OR(P21="",O21=""),"",(P21-O21)/O21)</f>
        <v/>
      </c>
      <c r="T21" s="9" t="str">
        <f aca="false">IF(AND(D21="",G21&lt;&gt;""),"no dates - assumed 1 night",IF(Q21="","",IF(Q21&gt;1.5,"check: markup &gt;150%",IF(Q21&lt;0,"below cost",""))))</f>
        <v/>
      </c>
    </row>
    <row r="22" customFormat="false" ht="15" hidden="false" customHeight="false" outlineLevel="0" collapsed="false">
      <c r="A22" s="9" t="s">
        <v>16</v>
      </c>
      <c r="B22" s="9" t="s">
        <v>231</v>
      </c>
      <c r="C22" s="9" t="s">
        <v>50</v>
      </c>
      <c r="D22" s="10" t="s">
        <v>51</v>
      </c>
      <c r="E22" s="10" t="s">
        <v>52</v>
      </c>
      <c r="F22" s="9" t="n">
        <f aca="false">IF(OR(D22="",E22=""),1,MAX(1,DATEVALUE(E22)-DATEVALUE(D22)))</f>
        <v>3</v>
      </c>
      <c r="G22" s="11" t="n">
        <v>35974</v>
      </c>
      <c r="H22" s="11" t="n">
        <v>38816</v>
      </c>
      <c r="I22" s="11"/>
      <c r="J22" s="11"/>
      <c r="K22" s="11"/>
      <c r="L22" s="12"/>
      <c r="M22" s="13"/>
      <c r="N22" s="14" t="n">
        <f aca="false">IF(G22="","",G22/F22)</f>
        <v>11991.3333333333</v>
      </c>
      <c r="O22" s="14" t="n">
        <f aca="false">IF(COUNT(H22:K22)=0,"",MIN(H22:K22)/F22)</f>
        <v>12938.6666666667</v>
      </c>
      <c r="P22" s="14" t="str">
        <f aca="false">IF(L22="","",L22*95/F22)</f>
        <v/>
      </c>
      <c r="Q22" s="15" t="n">
        <f aca="false">IF(OR(N22="",O22=""),"",(IF(AND(N22&gt;7500,O22&gt;7500),O22/(1+IF(O22&lt;=1000,0,IF(O22&lt;=7500,0.05,0.18)))-IF(AND(N22&gt;7500,O22&gt;7500),N22/1.18,N22),(O22-IF(AND(N22&gt;7500,O22&gt;7500),N22/1.18,N22))/(1+IF(O22&lt;=1000,0,IF(O22&lt;=7500,0.05,0.18)))))/(IF(AND(N22&gt;7500,O22&gt;7500),N22/1.18,N22)))</f>
        <v>0.0790015010841162</v>
      </c>
      <c r="R22" s="15" t="n">
        <f aca="false">IF(OR(N22="",O22=""),"",((O22-N22)/1.18)/N22)</f>
        <v>0.0669504246475561</v>
      </c>
      <c r="S22" s="15" t="str">
        <f aca="false">IF(OR(P22="",O22=""),"",(P22-O22)/O22)</f>
        <v/>
      </c>
      <c r="T22" s="9" t="str">
        <f aca="false">IF(AND(D22="",G22&lt;&gt;""),"no dates - assumed 1 night",IF(Q22="","",IF(Q22&gt;1.5,"check: markup &gt;150%",IF(Q22&lt;0,"below cost",""))))</f>
        <v/>
      </c>
    </row>
    <row r="23" customFormat="false" ht="15" hidden="false" customHeight="false" outlineLevel="0" collapsed="false">
      <c r="A23" s="9" t="s">
        <v>16</v>
      </c>
      <c r="B23" s="9" t="s">
        <v>232</v>
      </c>
      <c r="C23" s="9" t="s">
        <v>41</v>
      </c>
      <c r="D23" s="10" t="s">
        <v>42</v>
      </c>
      <c r="E23" s="10" t="s">
        <v>43</v>
      </c>
      <c r="F23" s="9" t="n">
        <f aca="false">IF(OR(D23="",E23=""),1,MAX(1,DATEVALUE(E23)-DATEVALUE(D23)))</f>
        <v>3</v>
      </c>
      <c r="G23" s="11" t="n">
        <v>39226</v>
      </c>
      <c r="H23" s="11" t="n">
        <v>41941</v>
      </c>
      <c r="I23" s="11"/>
      <c r="J23" s="11"/>
      <c r="K23" s="11"/>
      <c r="L23" s="12"/>
      <c r="M23" s="13"/>
      <c r="N23" s="14" t="n">
        <f aca="false">IF(G23="","",G23/F23)</f>
        <v>13075.3333333333</v>
      </c>
      <c r="O23" s="14" t="n">
        <f aca="false">IF(COUNT(H23:K23)=0,"",MIN(H23:K23)/F23)</f>
        <v>13980.3333333333</v>
      </c>
      <c r="P23" s="14" t="str">
        <f aca="false">IF(L23="","",L23*95/F23)</f>
        <v/>
      </c>
      <c r="Q23" s="15" t="n">
        <f aca="false">IF(OR(N23="",O23=""),"",(IF(AND(N23&gt;7500,O23&gt;7500),O23/(1+IF(O23&lt;=1000,0,IF(O23&lt;=7500,0.05,0.18)))-IF(AND(N23&gt;7500,O23&gt;7500),N23/1.18,N23),(O23-IF(AND(N23&gt;7500,O23&gt;7500),N23/1.18,N23))/(1+IF(O23&lt;=1000,0,IF(O23&lt;=7500,0.05,0.18)))))/(IF(AND(N23&gt;7500,O23&gt;7500),N23/1.18,N23)))</f>
        <v>0.0692142966399837</v>
      </c>
      <c r="R23" s="15" t="n">
        <f aca="false">IF(OR(N23="",O23=""),"",((O23-N23)/1.18)/N23)</f>
        <v>0.0586561835932065</v>
      </c>
      <c r="S23" s="15" t="str">
        <f aca="false">IF(OR(P23="",O23=""),"",(P23-O23)/O23)</f>
        <v/>
      </c>
      <c r="T23" s="9" t="str">
        <f aca="false">IF(AND(D23="",G23&lt;&gt;""),"no dates - assumed 1 night",IF(Q23="","",IF(Q23&gt;1.5,"check: markup &gt;150%",IF(Q23&lt;0,"below cost",""))))</f>
        <v/>
      </c>
    </row>
    <row r="24" customFormat="false" ht="15" hidden="false" customHeight="false" outlineLevel="0" collapsed="false">
      <c r="A24" s="9" t="s">
        <v>16</v>
      </c>
      <c r="B24" s="9" t="s">
        <v>232</v>
      </c>
      <c r="C24" s="9" t="s">
        <v>44</v>
      </c>
      <c r="D24" s="10" t="s">
        <v>45</v>
      </c>
      <c r="E24" s="10" t="s">
        <v>46</v>
      </c>
      <c r="F24" s="9" t="n">
        <f aca="false">IF(OR(D24="",E24=""),1,MAX(1,DATEVALUE(E24)-DATEVALUE(D24)))</f>
        <v>3</v>
      </c>
      <c r="G24" s="11" t="n">
        <v>39226</v>
      </c>
      <c r="H24" s="11" t="n">
        <v>41941</v>
      </c>
      <c r="I24" s="11"/>
      <c r="J24" s="11"/>
      <c r="K24" s="11"/>
      <c r="L24" s="12"/>
      <c r="M24" s="13"/>
      <c r="N24" s="14" t="n">
        <f aca="false">IF(G24="","",G24/F24)</f>
        <v>13075.3333333333</v>
      </c>
      <c r="O24" s="14" t="n">
        <f aca="false">IF(COUNT(H24:K24)=0,"",MIN(H24:K24)/F24)</f>
        <v>13980.3333333333</v>
      </c>
      <c r="P24" s="14" t="str">
        <f aca="false">IF(L24="","",L24*95/F24)</f>
        <v/>
      </c>
      <c r="Q24" s="15" t="n">
        <f aca="false">IF(OR(N24="",O24=""),"",(IF(AND(N24&gt;7500,O24&gt;7500),O24/(1+IF(O24&lt;=1000,0,IF(O24&lt;=7500,0.05,0.18)))-IF(AND(N24&gt;7500,O24&gt;7500),N24/1.18,N24),(O24-IF(AND(N24&gt;7500,O24&gt;7500),N24/1.18,N24))/(1+IF(O24&lt;=1000,0,IF(O24&lt;=7500,0.05,0.18)))))/(IF(AND(N24&gt;7500,O24&gt;7500),N24/1.18,N24)))</f>
        <v>0.0692142966399837</v>
      </c>
      <c r="R24" s="15" t="n">
        <f aca="false">IF(OR(N24="",O24=""),"",((O24-N24)/1.18)/N24)</f>
        <v>0.0586561835932065</v>
      </c>
      <c r="S24" s="15" t="str">
        <f aca="false">IF(OR(P24="",O24=""),"",(P24-O24)/O24)</f>
        <v/>
      </c>
      <c r="T24" s="9" t="str">
        <f aca="false">IF(AND(D24="",G24&lt;&gt;""),"no dates - assumed 1 night",IF(Q24="","",IF(Q24&gt;1.5,"check: markup &gt;150%",IF(Q24&lt;0,"below cost",""))))</f>
        <v/>
      </c>
    </row>
    <row r="25" customFormat="false" ht="15" hidden="false" customHeight="false" outlineLevel="0" collapsed="false">
      <c r="A25" s="9" t="s">
        <v>16</v>
      </c>
      <c r="B25" s="9" t="s">
        <v>232</v>
      </c>
      <c r="C25" s="9" t="s">
        <v>47</v>
      </c>
      <c r="D25" s="10" t="s">
        <v>48</v>
      </c>
      <c r="E25" s="10" t="s">
        <v>49</v>
      </c>
      <c r="F25" s="9" t="n">
        <f aca="false">IF(OR(D25="",E25=""),1,MAX(1,DATEVALUE(E25)-DATEVALUE(D25)))</f>
        <v>3</v>
      </c>
      <c r="G25" s="11" t="n">
        <v>39625</v>
      </c>
      <c r="H25" s="11" t="n">
        <v>41941</v>
      </c>
      <c r="I25" s="11"/>
      <c r="J25" s="11"/>
      <c r="K25" s="11"/>
      <c r="L25" s="12"/>
      <c r="M25" s="13"/>
      <c r="N25" s="14" t="n">
        <f aca="false">IF(G25="","",G25/F25)</f>
        <v>13208.3333333333</v>
      </c>
      <c r="O25" s="14" t="n">
        <f aca="false">IF(COUNT(H25:K25)=0,"",MIN(H25:K25)/F25)</f>
        <v>13980.3333333333</v>
      </c>
      <c r="P25" s="14" t="str">
        <f aca="false">IF(L25="","",L25*95/F25)</f>
        <v/>
      </c>
      <c r="Q25" s="15" t="n">
        <f aca="false">IF(OR(N25="",O25=""),"",(IF(AND(N25&gt;7500,O25&gt;7500),O25/(1+IF(O25&lt;=1000,0,IF(O25&lt;=7500,0.05,0.18)))-IF(AND(N25&gt;7500,O25&gt;7500),N25/1.18,N25),(O25-IF(AND(N25&gt;7500,O25&gt;7500),N25/1.18,N25))/(1+IF(O25&lt;=1000,0,IF(O25&lt;=7500,0.05,0.18)))))/(IF(AND(N25&gt;7500,O25&gt;7500),N25/1.18,N25)))</f>
        <v>0.0584479495268139</v>
      </c>
      <c r="R25" s="15" t="n">
        <f aca="false">IF(OR(N25="",O25=""),"",((O25-N25)/1.18)/N25)</f>
        <v>0.049532160615944</v>
      </c>
      <c r="S25" s="15" t="str">
        <f aca="false">IF(OR(P25="",O25=""),"",(P25-O25)/O25)</f>
        <v/>
      </c>
      <c r="T25" s="9" t="str">
        <f aca="false">IF(AND(D25="",G25&lt;&gt;""),"no dates - assumed 1 night",IF(Q25="","",IF(Q25&gt;1.5,"check: markup &gt;150%",IF(Q25&lt;0,"below cost",""))))</f>
        <v/>
      </c>
    </row>
    <row r="26" customFormat="false" ht="15" hidden="false" customHeight="false" outlineLevel="0" collapsed="false">
      <c r="A26" s="9" t="s">
        <v>16</v>
      </c>
      <c r="B26" s="9" t="s">
        <v>233</v>
      </c>
      <c r="C26" s="9" t="s">
        <v>41</v>
      </c>
      <c r="D26" s="10" t="s">
        <v>42</v>
      </c>
      <c r="E26" s="10" t="s">
        <v>43</v>
      </c>
      <c r="F26" s="9" t="n">
        <f aca="false">IF(OR(D26="",E26=""),1,MAX(1,DATEVALUE(E26)-DATEVALUE(D26)))</f>
        <v>3</v>
      </c>
      <c r="G26" s="11" t="n">
        <v>17910</v>
      </c>
      <c r="H26" s="11" t="n">
        <v>20340</v>
      </c>
      <c r="I26" s="11"/>
      <c r="J26" s="11"/>
      <c r="K26" s="11"/>
      <c r="L26" s="12" t="n">
        <v>273.52</v>
      </c>
      <c r="M26" s="13" t="n">
        <v>0.05</v>
      </c>
      <c r="N26" s="14" t="n">
        <f aca="false">IF(G26="","",G26/F26)</f>
        <v>5970</v>
      </c>
      <c r="O26" s="14" t="n">
        <f aca="false">IF(COUNT(H26:K26)=0,"",MIN(H26:K26)/F26)</f>
        <v>6780</v>
      </c>
      <c r="P26" s="14" t="n">
        <f aca="false">IF(L26="","",L26*95/F26)</f>
        <v>8661.46666666667</v>
      </c>
      <c r="Q26" s="15" t="n">
        <f aca="false">IF(OR(N26="",O26=""),"",(IF(AND(N26&gt;7500,O26&gt;7500),O26/(1+IF(O26&lt;=1000,0,IF(O26&lt;=7500,0.05,0.18)))-IF(AND(N26&gt;7500,O26&gt;7500),N26/1.18,N26),(O26-IF(AND(N26&gt;7500,O26&gt;7500),N26/1.18,N26))/(1+IF(O26&lt;=1000,0,IF(O26&lt;=7500,0.05,0.18)))))/(IF(AND(N26&gt;7500,O26&gt;7500),N26/1.18,N26)))</f>
        <v>0.12921751615219</v>
      </c>
      <c r="R26" s="15" t="n">
        <f aca="false">IF(OR(N26="",O26=""),"",((O26-N26)/1.18)/N26)</f>
        <v>0.114981688101525</v>
      </c>
      <c r="S26" s="15" t="n">
        <f aca="false">IF(OR(P26="",O26=""),"",(P26-O26)/O26)</f>
        <v>0.277502458210423</v>
      </c>
      <c r="T26" s="9" t="str">
        <f aca="false">IF(AND(D26="",G26&lt;&gt;""),"no dates - assumed 1 night",IF(Q26="","",IF(Q26&gt;1.5,"check: markup &gt;150%",IF(Q26&lt;0,"below cost",""))))</f>
        <v/>
      </c>
    </row>
    <row r="27" customFormat="false" ht="15" hidden="false" customHeight="false" outlineLevel="0" collapsed="false">
      <c r="A27" s="9" t="s">
        <v>16</v>
      </c>
      <c r="B27" s="9" t="s">
        <v>233</v>
      </c>
      <c r="C27" s="9" t="s">
        <v>44</v>
      </c>
      <c r="D27" s="10" t="s">
        <v>45</v>
      </c>
      <c r="E27" s="10" t="s">
        <v>46</v>
      </c>
      <c r="F27" s="9" t="n">
        <f aca="false">IF(OR(D27="",E27=""),1,MAX(1,DATEVALUE(E27)-DATEVALUE(D27)))</f>
        <v>3</v>
      </c>
      <c r="G27" s="11" t="n">
        <v>17910</v>
      </c>
      <c r="H27" s="11" t="n">
        <v>20165</v>
      </c>
      <c r="I27" s="11"/>
      <c r="J27" s="11"/>
      <c r="K27" s="11"/>
      <c r="L27" s="12" t="n">
        <v>273.52</v>
      </c>
      <c r="M27" s="13" t="n">
        <v>0.05</v>
      </c>
      <c r="N27" s="14" t="n">
        <f aca="false">IF(G27="","",G27/F27)</f>
        <v>5970</v>
      </c>
      <c r="O27" s="14" t="n">
        <f aca="false">IF(COUNT(H27:K27)=0,"",MIN(H27:K27)/F27)</f>
        <v>6721.66666666667</v>
      </c>
      <c r="P27" s="14" t="n">
        <f aca="false">IF(L27="","",L27*95/F27)</f>
        <v>8661.46666666667</v>
      </c>
      <c r="Q27" s="15" t="n">
        <f aca="false">IF(OR(N27="",O27=""),"",(IF(AND(N27&gt;7500,O27&gt;7500),O27/(1+IF(O27&lt;=1000,0,IF(O27&lt;=7500,0.05,0.18)))-IF(AND(N27&gt;7500,O27&gt;7500),N27/1.18,N27),(O27-IF(AND(N27&gt;7500,O27&gt;7500),N27/1.18,N27))/(1+IF(O27&lt;=1000,0,IF(O27&lt;=7500,0.05,0.18)))))/(IF(AND(N27&gt;7500,O27&gt;7500),N27/1.18,N27)))</f>
        <v>0.119911727951929</v>
      </c>
      <c r="R27" s="15" t="n">
        <f aca="false">IF(OR(N27="",O27=""),"",((O27-N27)/1.18)/N27)</f>
        <v>0.10670111385553</v>
      </c>
      <c r="S27" s="15" t="n">
        <f aca="false">IF(OR(P27="",O27=""),"",(P27-O27)/O27)</f>
        <v>0.288589139598314</v>
      </c>
      <c r="T27" s="9" t="str">
        <f aca="false">IF(AND(D27="",G27&lt;&gt;""),"no dates - assumed 1 night",IF(Q27="","",IF(Q27&gt;1.5,"check: markup &gt;150%",IF(Q27&lt;0,"below cost",""))))</f>
        <v/>
      </c>
    </row>
    <row r="28" customFormat="false" ht="15" hidden="false" customHeight="false" outlineLevel="0" collapsed="false">
      <c r="A28" s="9" t="s">
        <v>16</v>
      </c>
      <c r="B28" s="9" t="s">
        <v>233</v>
      </c>
      <c r="C28" s="9" t="s">
        <v>47</v>
      </c>
      <c r="D28" s="10" t="s">
        <v>48</v>
      </c>
      <c r="E28" s="10" t="s">
        <v>49</v>
      </c>
      <c r="F28" s="9" t="n">
        <f aca="false">IF(OR(D28="",E28=""),1,MAX(1,DATEVALUE(E28)-DATEVALUE(D28)))</f>
        <v>3</v>
      </c>
      <c r="G28" s="11" t="n">
        <v>19461</v>
      </c>
      <c r="H28" s="11" t="n">
        <v>21912</v>
      </c>
      <c r="I28" s="11"/>
      <c r="J28" s="11"/>
      <c r="K28" s="11"/>
      <c r="L28" s="12" t="n">
        <v>304.38</v>
      </c>
      <c r="M28" s="13" t="n">
        <v>0.06</v>
      </c>
      <c r="N28" s="14" t="n">
        <f aca="false">IF(G28="","",G28/F28)</f>
        <v>6487</v>
      </c>
      <c r="O28" s="14" t="n">
        <f aca="false">IF(COUNT(H28:K28)=0,"",MIN(H28:K28)/F28)</f>
        <v>7304</v>
      </c>
      <c r="P28" s="14" t="n">
        <f aca="false">IF(L28="","",L28*95/F28)</f>
        <v>9638.7</v>
      </c>
      <c r="Q28" s="15" t="n">
        <f aca="false">IF(OR(N28="",O28=""),"",(IF(AND(N28&gt;7500,O28&gt;7500),O28/(1+IF(O28&lt;=1000,0,IF(O28&lt;=7500,0.05,0.18)))-IF(AND(N28&gt;7500,O28&gt;7500),N28/1.18,N28),(O28-IF(AND(N28&gt;7500,O28&gt;7500),N28/1.18,N28))/(1+IF(O28&lt;=1000,0,IF(O28&lt;=7500,0.05,0.18)))))/(IF(AND(N28&gt;7500,O28&gt;7500),N28/1.18,N28)))</f>
        <v>0.119946853413787</v>
      </c>
      <c r="R28" s="15" t="n">
        <f aca="false">IF(OR(N28="",O28=""),"",((O28-N28)/1.18)/N28)</f>
        <v>0.106732369563116</v>
      </c>
      <c r="S28" s="15" t="n">
        <f aca="false">IF(OR(P28="",O28=""),"",(P28-O28)/O28)</f>
        <v>0.319646768893757</v>
      </c>
      <c r="T28" s="9" t="str">
        <f aca="false">IF(AND(D28="",G28&lt;&gt;""),"no dates - assumed 1 night",IF(Q28="","",IF(Q28&gt;1.5,"check: markup &gt;150%",IF(Q28&lt;0,"below cost",""))))</f>
        <v/>
      </c>
    </row>
    <row r="29" customFormat="false" ht="15" hidden="false" customHeight="false" outlineLevel="0" collapsed="false">
      <c r="A29" s="9" t="s">
        <v>16</v>
      </c>
      <c r="B29" s="9" t="s">
        <v>233</v>
      </c>
      <c r="C29" s="9" t="s">
        <v>50</v>
      </c>
      <c r="D29" s="10" t="s">
        <v>51</v>
      </c>
      <c r="E29" s="10" t="s">
        <v>52</v>
      </c>
      <c r="F29" s="9" t="n">
        <f aca="false">IF(OR(D29="",E29=""),1,MAX(1,DATEVALUE(E29)-DATEVALUE(D29)))</f>
        <v>3</v>
      </c>
      <c r="G29" s="11" t="n">
        <v>29735</v>
      </c>
      <c r="H29" s="11" t="n">
        <v>34121</v>
      </c>
      <c r="I29" s="11"/>
      <c r="J29" s="11"/>
      <c r="K29" s="11"/>
      <c r="L29" s="12" t="n">
        <v>488.53</v>
      </c>
      <c r="M29" s="13" t="n">
        <v>0.06</v>
      </c>
      <c r="N29" s="14" t="n">
        <f aca="false">IF(G29="","",G29/F29)</f>
        <v>9911.66666666667</v>
      </c>
      <c r="O29" s="14" t="n">
        <f aca="false">IF(COUNT(H29:K29)=0,"",MIN(H29:K29)/F29)</f>
        <v>11373.6666666667</v>
      </c>
      <c r="P29" s="14" t="n">
        <f aca="false">IF(L29="","",L29*95/F29)</f>
        <v>15470.1166666667</v>
      </c>
      <c r="Q29" s="15" t="n">
        <f aca="false">IF(OR(N29="",O29=""),"",(IF(AND(N29&gt;7500,O29&gt;7500),O29/(1+IF(O29&lt;=1000,0,IF(O29&lt;=7500,0.05,0.18)))-IF(AND(N29&gt;7500,O29&gt;7500),N29/1.18,N29),(O29-IF(AND(N29&gt;7500,O29&gt;7500),N29/1.18,N29))/(1+IF(O29&lt;=1000,0,IF(O29&lt;=7500,0.05,0.18)))))/(IF(AND(N29&gt;7500,O29&gt;7500),N29/1.18,N29)))</f>
        <v>0.147502942660165</v>
      </c>
      <c r="R29" s="15" t="n">
        <f aca="false">IF(OR(N29="",O29=""),"",((O29-N29)/1.18)/N29)</f>
        <v>0.125002493779801</v>
      </c>
      <c r="S29" s="15" t="n">
        <f aca="false">IF(OR(P29="",O29=""),"",(P29-O29)/O29)</f>
        <v>0.360169690220099</v>
      </c>
      <c r="T29" s="9" t="str">
        <f aca="false">IF(AND(D29="",G29&lt;&gt;""),"no dates - assumed 1 night",IF(Q29="","",IF(Q29&gt;1.5,"check: markup &gt;150%",IF(Q29&lt;0,"below cost",""))))</f>
        <v/>
      </c>
    </row>
    <row r="30" customFormat="false" ht="15" hidden="false" customHeight="false" outlineLevel="0" collapsed="false">
      <c r="A30" s="9" t="s">
        <v>16</v>
      </c>
      <c r="B30" s="9" t="s">
        <v>234</v>
      </c>
      <c r="C30" s="9" t="s">
        <v>41</v>
      </c>
      <c r="D30" s="10" t="s">
        <v>42</v>
      </c>
      <c r="E30" s="10" t="s">
        <v>43</v>
      </c>
      <c r="F30" s="9" t="n">
        <f aca="false">IF(OR(D30="",E30=""),1,MAX(1,DATEVALUE(E30)-DATEVALUE(D30)))</f>
        <v>3</v>
      </c>
      <c r="G30" s="11" t="n">
        <v>31694</v>
      </c>
      <c r="H30" s="11" t="n">
        <v>39194</v>
      </c>
      <c r="I30" s="11"/>
      <c r="J30" s="11"/>
      <c r="K30" s="11"/>
      <c r="L30" s="12"/>
      <c r="M30" s="13"/>
      <c r="N30" s="14" t="n">
        <f aca="false">IF(G30="","",G30/F30)</f>
        <v>10564.6666666667</v>
      </c>
      <c r="O30" s="14" t="n">
        <f aca="false">IF(COUNT(H30:K30)=0,"",MIN(H30:K30)/F30)</f>
        <v>13064.6666666667</v>
      </c>
      <c r="P30" s="14" t="str">
        <f aca="false">IF(L30="","",L30*95/F30)</f>
        <v/>
      </c>
      <c r="Q30" s="15" t="n">
        <f aca="false">IF(OR(N30="",O30=""),"",(IF(AND(N30&gt;7500,O30&gt;7500),O30/(1+IF(O30&lt;=1000,0,IF(O30&lt;=7500,0.05,0.18)))-IF(AND(N30&gt;7500,O30&gt;7500),N30/1.18,N30),(O30-IF(AND(N30&gt;7500,O30&gt;7500),N30/1.18,N30))/(1+IF(O30&lt;=1000,0,IF(O30&lt;=7500,0.05,0.18)))))/(IF(AND(N30&gt;7500,O30&gt;7500),N30/1.18,N30)))</f>
        <v>0.236637849435224</v>
      </c>
      <c r="R30" s="15" t="n">
        <f aca="false">IF(OR(N30="",O30=""),"",((O30-N30)/1.18)/N30)</f>
        <v>0.200540550368834</v>
      </c>
      <c r="S30" s="15" t="str">
        <f aca="false">IF(OR(P30="",O30=""),"",(P30-O30)/O30)</f>
        <v/>
      </c>
      <c r="T30" s="9" t="str">
        <f aca="false">IF(AND(D30="",G30&lt;&gt;""),"no dates - assumed 1 night",IF(Q30="","",IF(Q30&gt;1.5,"check: markup &gt;150%",IF(Q30&lt;0,"below cost",""))))</f>
        <v/>
      </c>
    </row>
    <row r="31" customFormat="false" ht="15" hidden="false" customHeight="false" outlineLevel="0" collapsed="false">
      <c r="A31" s="9" t="s">
        <v>16</v>
      </c>
      <c r="B31" s="9" t="s">
        <v>234</v>
      </c>
      <c r="C31" s="9" t="s">
        <v>44</v>
      </c>
      <c r="D31" s="10" t="s">
        <v>45</v>
      </c>
      <c r="E31" s="10" t="s">
        <v>46</v>
      </c>
      <c r="F31" s="9" t="n">
        <f aca="false">IF(OR(D31="",E31=""),1,MAX(1,DATEVALUE(E31)-DATEVALUE(D31)))</f>
        <v>3</v>
      </c>
      <c r="G31" s="11" t="n">
        <v>35657</v>
      </c>
      <c r="H31" s="11" t="n">
        <v>39194</v>
      </c>
      <c r="I31" s="11"/>
      <c r="J31" s="11"/>
      <c r="K31" s="11"/>
      <c r="L31" s="12"/>
      <c r="M31" s="13"/>
      <c r="N31" s="14" t="n">
        <f aca="false">IF(G31="","",G31/F31)</f>
        <v>11885.6666666667</v>
      </c>
      <c r="O31" s="14" t="n">
        <f aca="false">IF(COUNT(H31:K31)=0,"",MIN(H31:K31)/F31)</f>
        <v>13064.6666666667</v>
      </c>
      <c r="P31" s="14" t="str">
        <f aca="false">IF(L31="","",L31*95/F31)</f>
        <v/>
      </c>
      <c r="Q31" s="15" t="n">
        <f aca="false">IF(OR(N31="",O31=""),"",(IF(AND(N31&gt;7500,O31&gt;7500),O31/(1+IF(O31&lt;=1000,0,IF(O31&lt;=7500,0.05,0.18)))-IF(AND(N31&gt;7500,O31&gt;7500),N31/1.18,N31),(O31-IF(AND(N31&gt;7500,O31&gt;7500),N31/1.18,N31))/(1+IF(O31&lt;=1000,0,IF(O31&lt;=7500,0.05,0.18)))))/(IF(AND(N31&gt;7500,O31&gt;7500),N31/1.18,N31)))</f>
        <v>0.0991951089547635</v>
      </c>
      <c r="R31" s="15" t="n">
        <f aca="false">IF(OR(N31="",O31=""),"",((O31-N31)/1.18)/N31)</f>
        <v>0.0840636516565792</v>
      </c>
      <c r="S31" s="15" t="str">
        <f aca="false">IF(OR(P31="",O31=""),"",(P31-O31)/O31)</f>
        <v/>
      </c>
      <c r="T31" s="9" t="str">
        <f aca="false">IF(AND(D31="",G31&lt;&gt;""),"no dates - assumed 1 night",IF(Q31="","",IF(Q31&gt;1.5,"check: markup &gt;150%",IF(Q31&lt;0,"below cost",""))))</f>
        <v/>
      </c>
    </row>
    <row r="32" customFormat="false" ht="15" hidden="false" customHeight="false" outlineLevel="0" collapsed="false">
      <c r="A32" s="9" t="s">
        <v>16</v>
      </c>
      <c r="B32" s="9" t="s">
        <v>234</v>
      </c>
      <c r="C32" s="9" t="s">
        <v>47</v>
      </c>
      <c r="D32" s="10" t="s">
        <v>48</v>
      </c>
      <c r="E32" s="10" t="s">
        <v>49</v>
      </c>
      <c r="F32" s="9" t="n">
        <f aca="false">IF(OR(D32="",E32=""),1,MAX(1,DATEVALUE(E32)-DATEVALUE(D32)))</f>
        <v>3</v>
      </c>
      <c r="G32" s="11" t="n">
        <v>35061</v>
      </c>
      <c r="H32" s="11" t="n">
        <v>39361</v>
      </c>
      <c r="I32" s="11"/>
      <c r="J32" s="11"/>
      <c r="K32" s="11"/>
      <c r="L32" s="12"/>
      <c r="M32" s="13"/>
      <c r="N32" s="14" t="n">
        <f aca="false">IF(G32="","",G32/F32)</f>
        <v>11687</v>
      </c>
      <c r="O32" s="14" t="n">
        <f aca="false">IF(COUNT(H32:K32)=0,"",MIN(H32:K32)/F32)</f>
        <v>13120.3333333333</v>
      </c>
      <c r="P32" s="14" t="str">
        <f aca="false">IF(L32="","",L32*95/F32)</f>
        <v/>
      </c>
      <c r="Q32" s="15" t="n">
        <f aca="false">IF(OR(N32="",O32=""),"",(IF(AND(N32&gt;7500,O32&gt;7500),O32/(1+IF(O32&lt;=1000,0,IF(O32&lt;=7500,0.05,0.18)))-IF(AND(N32&gt;7500,O32&gt;7500),N32/1.18,N32),(O32-IF(AND(N32&gt;7500,O32&gt;7500),N32/1.18,N32))/(1+IF(O32&lt;=1000,0,IF(O32&lt;=7500,0.05,0.18)))))/(IF(AND(N32&gt;7500,O32&gt;7500),N32/1.18,N32)))</f>
        <v>0.122643392943727</v>
      </c>
      <c r="R32" s="15" t="n">
        <f aca="false">IF(OR(N32="",O32=""),"",((O32-N32)/1.18)/N32)</f>
        <v>0.10393507876587</v>
      </c>
      <c r="S32" s="15" t="str">
        <f aca="false">IF(OR(P32="",O32=""),"",(P32-O32)/O32)</f>
        <v/>
      </c>
      <c r="T32" s="9" t="str">
        <f aca="false">IF(AND(D32="",G32&lt;&gt;""),"no dates - assumed 1 night",IF(Q32="","",IF(Q32&gt;1.5,"check: markup &gt;150%",IF(Q32&lt;0,"below cost",""))))</f>
        <v/>
      </c>
    </row>
    <row r="33" customFormat="false" ht="15" hidden="false" customHeight="false" outlineLevel="0" collapsed="false">
      <c r="A33" s="9" t="s">
        <v>16</v>
      </c>
      <c r="B33" s="9" t="s">
        <v>234</v>
      </c>
      <c r="C33" s="9" t="s">
        <v>50</v>
      </c>
      <c r="D33" s="10" t="s">
        <v>51</v>
      </c>
      <c r="E33" s="10" t="s">
        <v>52</v>
      </c>
      <c r="F33" s="9" t="n">
        <f aca="false">IF(OR(D33="",E33=""),1,MAX(1,DATEVALUE(E33)-DATEVALUE(D33)))</f>
        <v>3</v>
      </c>
      <c r="G33" s="11" t="n">
        <v>42789</v>
      </c>
      <c r="H33" s="11" t="n">
        <v>48993</v>
      </c>
      <c r="I33" s="11"/>
      <c r="J33" s="11"/>
      <c r="K33" s="11"/>
      <c r="L33" s="12"/>
      <c r="M33" s="13"/>
      <c r="N33" s="14" t="n">
        <f aca="false">IF(G33="","",G33/F33)</f>
        <v>14263</v>
      </c>
      <c r="O33" s="14" t="n">
        <f aca="false">IF(COUNT(H33:K33)=0,"",MIN(H33:K33)/F33)</f>
        <v>16331</v>
      </c>
      <c r="P33" s="14" t="str">
        <f aca="false">IF(L33="","",L33*95/F33)</f>
        <v/>
      </c>
      <c r="Q33" s="15" t="n">
        <f aca="false">IF(OR(N33="",O33=""),"",(IF(AND(N33&gt;7500,O33&gt;7500),O33/(1+IF(O33&lt;=1000,0,IF(O33&lt;=7500,0.05,0.18)))-IF(AND(N33&gt;7500,O33&gt;7500),N33/1.18,N33),(O33-IF(AND(N33&gt;7500,O33&gt;7500),N33/1.18,N33))/(1+IF(O33&lt;=1000,0,IF(O33&lt;=7500,0.05,0.18)))))/(IF(AND(N33&gt;7500,O33&gt;7500),N33/1.18,N33)))</f>
        <v>0.144990534950571</v>
      </c>
      <c r="R33" s="15" t="n">
        <f aca="false">IF(OR(N33="",O33=""),"",((O33-N33)/1.18)/N33)</f>
        <v>0.122873334703874</v>
      </c>
      <c r="S33" s="15" t="str">
        <f aca="false">IF(OR(P33="",O33=""),"",(P33-O33)/O33)</f>
        <v/>
      </c>
      <c r="T33" s="9" t="str">
        <f aca="false">IF(AND(D33="",G33&lt;&gt;""),"no dates - assumed 1 night",IF(Q33="","",IF(Q33&gt;1.5,"check: markup &gt;150%",IF(Q33&lt;0,"below cost",""))))</f>
        <v/>
      </c>
    </row>
    <row r="34" customFormat="false" ht="15" hidden="false" customHeight="false" outlineLevel="0" collapsed="false">
      <c r="A34" s="9" t="s">
        <v>16</v>
      </c>
      <c r="B34" s="9" t="s">
        <v>235</v>
      </c>
      <c r="C34" s="9" t="s">
        <v>41</v>
      </c>
      <c r="D34" s="10" t="s">
        <v>42</v>
      </c>
      <c r="E34" s="10" t="s">
        <v>43</v>
      </c>
      <c r="F34" s="9" t="n">
        <f aca="false">IF(OR(D34="",E34=""),1,MAX(1,DATEVALUE(E34)-DATEVALUE(D34)))</f>
        <v>3</v>
      </c>
      <c r="G34" s="11" t="n">
        <v>14170</v>
      </c>
      <c r="H34" s="11" t="n">
        <v>13538</v>
      </c>
      <c r="I34" s="11"/>
      <c r="J34" s="11"/>
      <c r="K34" s="11"/>
      <c r="L34" s="12"/>
      <c r="M34" s="13"/>
      <c r="N34" s="14" t="n">
        <f aca="false">IF(G34="","",G34/F34)</f>
        <v>4723.33333333333</v>
      </c>
      <c r="O34" s="14" t="n">
        <f aca="false">IF(COUNT(H34:K34)=0,"",MIN(H34:K34)/F34)</f>
        <v>4512.66666666667</v>
      </c>
      <c r="P34" s="14" t="str">
        <f aca="false">IF(L34="","",L34*95/F34)</f>
        <v/>
      </c>
      <c r="Q34" s="15" t="n">
        <f aca="false">IF(OR(N34="",O34=""),"",(IF(AND(N34&gt;7500,O34&gt;7500),O34/(1+IF(O34&lt;=1000,0,IF(O34&lt;=7500,0.05,0.18)))-IF(AND(N34&gt;7500,O34&gt;7500),N34/1.18,N34),(O34-IF(AND(N34&gt;7500,O34&gt;7500),N34/1.18,N34))/(1+IF(O34&lt;=1000,0,IF(O34&lt;=7500,0.05,0.18)))))/(IF(AND(N34&gt;7500,O34&gt;7500),N34/1.18,N34)))</f>
        <v>-0.0424774002755653</v>
      </c>
      <c r="R34" s="15" t="n">
        <f aca="false">IF(OR(N34="",O34=""),"",((O34-N34)/1.18)/N34)</f>
        <v>-0.0377976866858844</v>
      </c>
      <c r="S34" s="15" t="str">
        <f aca="false">IF(OR(P34="",O34=""),"",(P34-O34)/O34)</f>
        <v/>
      </c>
      <c r="T34" s="9" t="str">
        <f aca="false">IF(AND(D34="",G34&lt;&gt;""),"no dates - assumed 1 night",IF(Q34="","",IF(Q34&gt;1.5,"check: markup &gt;150%",IF(Q34&lt;0,"below cost",""))))</f>
        <v>below cost</v>
      </c>
    </row>
    <row r="35" customFormat="false" ht="15" hidden="false" customHeight="false" outlineLevel="0" collapsed="false">
      <c r="A35" s="9" t="s">
        <v>16</v>
      </c>
      <c r="B35" s="9" t="s">
        <v>235</v>
      </c>
      <c r="C35" s="9" t="s">
        <v>44</v>
      </c>
      <c r="D35" s="10" t="s">
        <v>45</v>
      </c>
      <c r="E35" s="10" t="s">
        <v>46</v>
      </c>
      <c r="F35" s="9" t="n">
        <f aca="false">IF(OR(D35="",E35=""),1,MAX(1,DATEVALUE(E35)-DATEVALUE(D35)))</f>
        <v>3</v>
      </c>
      <c r="G35" s="11" t="n">
        <v>11333</v>
      </c>
      <c r="H35" s="11" t="n">
        <v>12092</v>
      </c>
      <c r="I35" s="11"/>
      <c r="J35" s="11"/>
      <c r="K35" s="11"/>
      <c r="L35" s="12"/>
      <c r="M35" s="13"/>
      <c r="N35" s="14" t="n">
        <f aca="false">IF(G35="","",G35/F35)</f>
        <v>3777.66666666667</v>
      </c>
      <c r="O35" s="14" t="n">
        <f aca="false">IF(COUNT(H35:K35)=0,"",MIN(H35:K35)/F35)</f>
        <v>4030.66666666667</v>
      </c>
      <c r="P35" s="14" t="str">
        <f aca="false">IF(L35="","",L35*95/F35)</f>
        <v/>
      </c>
      <c r="Q35" s="15" t="n">
        <f aca="false">IF(OR(N35="",O35=""),"",(IF(AND(N35&gt;7500,O35&gt;7500),O35/(1+IF(O35&lt;=1000,0,IF(O35&lt;=7500,0.05,0.18)))-IF(AND(N35&gt;7500,O35&gt;7500),N35/1.18,N35),(O35-IF(AND(N35&gt;7500,O35&gt;7500),N35/1.18,N35))/(1+IF(O35&lt;=1000,0,IF(O35&lt;=7500,0.05,0.18)))))/(IF(AND(N35&gt;7500,O35&gt;7500),N35/1.18,N35)))</f>
        <v>0.0637833885870593</v>
      </c>
      <c r="R35" s="15" t="n">
        <f aca="false">IF(OR(N35="",O35=""),"",((O35-N35)/1.18)/N35)</f>
        <v>0.0567564050986545</v>
      </c>
      <c r="S35" s="15" t="str">
        <f aca="false">IF(OR(P35="",O35=""),"",(P35-O35)/O35)</f>
        <v/>
      </c>
      <c r="T35" s="9" t="str">
        <f aca="false">IF(AND(D35="",G35&lt;&gt;""),"no dates - assumed 1 night",IF(Q35="","",IF(Q35&gt;1.5,"check: markup &gt;150%",IF(Q35&lt;0,"below cost",""))))</f>
        <v/>
      </c>
    </row>
    <row r="36" customFormat="false" ht="15" hidden="false" customHeight="false" outlineLevel="0" collapsed="false">
      <c r="A36" s="9" t="s">
        <v>16</v>
      </c>
      <c r="B36" s="9" t="s">
        <v>235</v>
      </c>
      <c r="C36" s="9" t="s">
        <v>47</v>
      </c>
      <c r="D36" s="16"/>
      <c r="E36" s="16"/>
      <c r="F36" s="9" t="n">
        <f aca="false">IF(OR(D36="",E36=""),1,MAX(1,DATEVALUE(E36)-DATEVALUE(D36)))</f>
        <v>1</v>
      </c>
      <c r="G36" s="11" t="n">
        <v>12061</v>
      </c>
      <c r="H36" s="11" t="n">
        <v>15032</v>
      </c>
      <c r="I36" s="11"/>
      <c r="J36" s="11"/>
      <c r="K36" s="11"/>
      <c r="L36" s="12"/>
      <c r="M36" s="13"/>
      <c r="N36" s="14" t="n">
        <f aca="false">IF(G36="","",G36/F36)</f>
        <v>12061</v>
      </c>
      <c r="O36" s="14" t="n">
        <f aca="false">IF(COUNT(H36:K36)=0,"",MIN(H36:K36)/F36)</f>
        <v>15032</v>
      </c>
      <c r="P36" s="14" t="str">
        <f aca="false">IF(L36="","",L36*95/F36)</f>
        <v/>
      </c>
      <c r="Q36" s="15" t="n">
        <f aca="false">IF(OR(N36="",O36=""),"",(IF(AND(N36&gt;7500,O36&gt;7500),O36/(1+IF(O36&lt;=1000,0,IF(O36&lt;=7500,0.05,0.18)))-IF(AND(N36&gt;7500,O36&gt;7500),N36/1.18,N36),(O36-IF(AND(N36&gt;7500,O36&gt;7500),N36/1.18,N36))/(1+IF(O36&lt;=1000,0,IF(O36&lt;=7500,0.05,0.18)))))/(IF(AND(N36&gt;7500,O36&gt;7500),N36/1.18,N36)))</f>
        <v>0.246331149987563</v>
      </c>
      <c r="R36" s="15" t="n">
        <f aca="false">IF(OR(N36="",O36=""),"",((O36-N36)/1.18)/N36)</f>
        <v>0.208755211853867</v>
      </c>
      <c r="S36" s="15" t="str">
        <f aca="false">IF(OR(P36="",O36=""),"",(P36-O36)/O36)</f>
        <v/>
      </c>
      <c r="T36" s="9" t="str">
        <f aca="false">IF(AND(D36="",G36&lt;&gt;""),"no dates - assumed 1 night",IF(Q36="","",IF(Q36&gt;1.5,"check: markup &gt;150%",IF(Q36&lt;0,"below cost",""))))</f>
        <v>no dates - assumed 1 night</v>
      </c>
    </row>
    <row r="37" customFormat="false" ht="15" hidden="false" customHeight="false" outlineLevel="0" collapsed="false">
      <c r="A37" s="9" t="s">
        <v>16</v>
      </c>
      <c r="B37" s="9" t="s">
        <v>235</v>
      </c>
      <c r="C37" s="9" t="s">
        <v>50</v>
      </c>
      <c r="D37" s="16"/>
      <c r="E37" s="16"/>
      <c r="F37" s="9" t="n">
        <f aca="false">IF(OR(D37="",E37=""),1,MAX(1,DATEVALUE(E37)-DATEVALUE(D37)))</f>
        <v>1</v>
      </c>
      <c r="G37" s="11" t="n">
        <v>39123</v>
      </c>
      <c r="H37" s="11" t="n">
        <v>37663</v>
      </c>
      <c r="I37" s="11"/>
      <c r="J37" s="11"/>
      <c r="K37" s="11"/>
      <c r="L37" s="12"/>
      <c r="M37" s="13"/>
      <c r="N37" s="14" t="n">
        <f aca="false">IF(G37="","",G37/F37)</f>
        <v>39123</v>
      </c>
      <c r="O37" s="14" t="n">
        <f aca="false">IF(COUNT(H37:K37)=0,"",MIN(H37:K37)/F37)</f>
        <v>37663</v>
      </c>
      <c r="P37" s="14" t="str">
        <f aca="false">IF(L37="","",L37*95/F37)</f>
        <v/>
      </c>
      <c r="Q37" s="15" t="n">
        <f aca="false">IF(OR(N37="",O37=""),"",(IF(AND(N37&gt;7500,O37&gt;7500),O37/(1+IF(O37&lt;=1000,0,IF(O37&lt;=7500,0.05,0.18)))-IF(AND(N37&gt;7500,O37&gt;7500),N37/1.18,N37),(O37-IF(AND(N37&gt;7500,O37&gt;7500),N37/1.18,N37))/(1+IF(O37&lt;=1000,0,IF(O37&lt;=7500,0.05,0.18)))))/(IF(AND(N37&gt;7500,O37&gt;7500),N37/1.18,N37)))</f>
        <v>-0.0373182015694094</v>
      </c>
      <c r="R37" s="15" t="n">
        <f aca="false">IF(OR(N37="",O37=""),"",((O37-N37)/1.18)/N37)</f>
        <v>-0.0316255945503469</v>
      </c>
      <c r="S37" s="15" t="str">
        <f aca="false">IF(OR(P37="",O37=""),"",(P37-O37)/O37)</f>
        <v/>
      </c>
      <c r="T37" s="9" t="str">
        <f aca="false">IF(AND(D37="",G37&lt;&gt;""),"no dates - assumed 1 night",IF(Q37="","",IF(Q37&gt;1.5,"check: markup &gt;150%",IF(Q37&lt;0,"below cost",""))))</f>
        <v>no dates - assumed 1 night</v>
      </c>
    </row>
    <row r="38" customFormat="false" ht="15" hidden="false" customHeight="false" outlineLevel="0" collapsed="false">
      <c r="A38" s="9" t="s">
        <v>16</v>
      </c>
      <c r="B38" s="9" t="s">
        <v>236</v>
      </c>
      <c r="C38" s="9" t="s">
        <v>41</v>
      </c>
      <c r="D38" s="16"/>
      <c r="E38" s="16"/>
      <c r="F38" s="9" t="n">
        <f aca="false">IF(OR(D38="",E38=""),1,MAX(1,DATEVALUE(E38)-DATEVALUE(D38)))</f>
        <v>1</v>
      </c>
      <c r="G38" s="11" t="n">
        <v>18883</v>
      </c>
      <c r="H38" s="11" t="n">
        <v>19685</v>
      </c>
      <c r="I38" s="11"/>
      <c r="J38" s="11"/>
      <c r="K38" s="11"/>
      <c r="L38" s="12"/>
      <c r="M38" s="13"/>
      <c r="N38" s="14" t="n">
        <f aca="false">IF(G38="","",G38/F38)</f>
        <v>18883</v>
      </c>
      <c r="O38" s="14" t="n">
        <f aca="false">IF(COUNT(H38:K38)=0,"",MIN(H38:K38)/F38)</f>
        <v>19685</v>
      </c>
      <c r="P38" s="14" t="str">
        <f aca="false">IF(L38="","",L38*95/F38)</f>
        <v/>
      </c>
      <c r="Q38" s="15" t="n">
        <f aca="false">IF(OR(N38="",O38=""),"",(IF(AND(N38&gt;7500,O38&gt;7500),O38/(1+IF(O38&lt;=1000,0,IF(O38&lt;=7500,0.05,0.18)))-IF(AND(N38&gt;7500,O38&gt;7500),N38/1.18,N38),(O38-IF(AND(N38&gt;7500,O38&gt;7500),N38/1.18,N38))/(1+IF(O38&lt;=1000,0,IF(O38&lt;=7500,0.05,0.18)))))/(IF(AND(N38&gt;7500,O38&gt;7500),N38/1.18,N38)))</f>
        <v>0.0424720648202086</v>
      </c>
      <c r="R38" s="15" t="n">
        <f aca="false">IF(OR(N38="",O38=""),"",((O38-N38)/1.18)/N38)</f>
        <v>0.0359932752713633</v>
      </c>
      <c r="S38" s="15" t="str">
        <f aca="false">IF(OR(P38="",O38=""),"",(P38-O38)/O38)</f>
        <v/>
      </c>
      <c r="T38" s="9" t="str">
        <f aca="false">IF(AND(D38="",G38&lt;&gt;""),"no dates - assumed 1 night",IF(Q38="","",IF(Q38&gt;1.5,"check: markup &gt;150%",IF(Q38&lt;0,"below cost",""))))</f>
        <v>no dates - assumed 1 night</v>
      </c>
    </row>
    <row r="39" customFormat="false" ht="15" hidden="false" customHeight="false" outlineLevel="0" collapsed="false">
      <c r="A39" s="9" t="s">
        <v>16</v>
      </c>
      <c r="B39" s="9" t="s">
        <v>236</v>
      </c>
      <c r="C39" s="9" t="s">
        <v>44</v>
      </c>
      <c r="D39" s="16"/>
      <c r="E39" s="16"/>
      <c r="F39" s="9" t="n">
        <f aca="false">IF(OR(D39="",E39=""),1,MAX(1,DATEVALUE(E39)-DATEVALUE(D39)))</f>
        <v>1</v>
      </c>
      <c r="G39" s="11" t="n">
        <v>16623</v>
      </c>
      <c r="H39" s="11" t="n">
        <v>16850</v>
      </c>
      <c r="I39" s="11"/>
      <c r="J39" s="11"/>
      <c r="K39" s="11"/>
      <c r="L39" s="12"/>
      <c r="M39" s="13"/>
      <c r="N39" s="14" t="n">
        <f aca="false">IF(G39="","",G39/F39)</f>
        <v>16623</v>
      </c>
      <c r="O39" s="14" t="n">
        <f aca="false">IF(COUNT(H39:K39)=0,"",MIN(H39:K39)/F39)</f>
        <v>16850</v>
      </c>
      <c r="P39" s="14" t="str">
        <f aca="false">IF(L39="","",L39*95/F39)</f>
        <v/>
      </c>
      <c r="Q39" s="15" t="n">
        <f aca="false">IF(OR(N39="",O39=""),"",(IF(AND(N39&gt;7500,O39&gt;7500),O39/(1+IF(O39&lt;=1000,0,IF(O39&lt;=7500,0.05,0.18)))-IF(AND(N39&gt;7500,O39&gt;7500),N39/1.18,N39),(O39-IF(AND(N39&gt;7500,O39&gt;7500),N39/1.18,N39))/(1+IF(O39&lt;=1000,0,IF(O39&lt;=7500,0.05,0.18)))))/(IF(AND(N39&gt;7500,O39&gt;7500),N39/1.18,N39)))</f>
        <v>0.0136557781387236</v>
      </c>
      <c r="R39" s="15" t="n">
        <f aca="false">IF(OR(N39="",O39=""),"",((O39-N39)/1.18)/N39)</f>
        <v>0.0115726933379012</v>
      </c>
      <c r="S39" s="15" t="str">
        <f aca="false">IF(OR(P39="",O39=""),"",(P39-O39)/O39)</f>
        <v/>
      </c>
      <c r="T39" s="9" t="str">
        <f aca="false">IF(AND(D39="",G39&lt;&gt;""),"no dates - assumed 1 night",IF(Q39="","",IF(Q39&gt;1.5,"check: markup &gt;150%",IF(Q39&lt;0,"below cost",""))))</f>
        <v>no dates - assumed 1 night</v>
      </c>
    </row>
    <row r="40" customFormat="false" ht="15" hidden="false" customHeight="false" outlineLevel="0" collapsed="false">
      <c r="A40" s="9" t="s">
        <v>16</v>
      </c>
      <c r="B40" s="9" t="s">
        <v>236</v>
      </c>
      <c r="C40" s="9" t="s">
        <v>47</v>
      </c>
      <c r="D40" s="16"/>
      <c r="E40" s="16"/>
      <c r="F40" s="9" t="n">
        <f aca="false">IF(OR(D40="",E40=""),1,MAX(1,DATEVALUE(E40)-DATEVALUE(D40)))</f>
        <v>1</v>
      </c>
      <c r="G40" s="11" t="n">
        <v>30839</v>
      </c>
      <c r="H40" s="11" t="n">
        <v>33132</v>
      </c>
      <c r="I40" s="11"/>
      <c r="J40" s="11"/>
      <c r="K40" s="11"/>
      <c r="L40" s="12"/>
      <c r="M40" s="13"/>
      <c r="N40" s="14" t="n">
        <f aca="false">IF(G40="","",G40/F40)</f>
        <v>30839</v>
      </c>
      <c r="O40" s="14" t="n">
        <f aca="false">IF(COUNT(H40:K40)=0,"",MIN(H40:K40)/F40)</f>
        <v>33132</v>
      </c>
      <c r="P40" s="14" t="str">
        <f aca="false">IF(L40="","",L40*95/F40)</f>
        <v/>
      </c>
      <c r="Q40" s="15" t="n">
        <f aca="false">IF(OR(N40="",O40=""),"",(IF(AND(N40&gt;7500,O40&gt;7500),O40/(1+IF(O40&lt;=1000,0,IF(O40&lt;=7500,0.05,0.18)))-IF(AND(N40&gt;7500,O40&gt;7500),N40/1.18,N40),(O40-IF(AND(N40&gt;7500,O40&gt;7500),N40/1.18,N40))/(1+IF(O40&lt;=1000,0,IF(O40&lt;=7500,0.05,0.18)))))/(IF(AND(N40&gt;7500,O40&gt;7500),N40/1.18,N40)))</f>
        <v>0.0743539025260222</v>
      </c>
      <c r="R40" s="15" t="n">
        <f aca="false">IF(OR(N40="",O40=""),"",((O40-N40)/1.18)/N40)</f>
        <v>0.0630117818017138</v>
      </c>
      <c r="S40" s="15" t="str">
        <f aca="false">IF(OR(P40="",O40=""),"",(P40-O40)/O40)</f>
        <v/>
      </c>
      <c r="T40" s="9" t="str">
        <f aca="false">IF(AND(D40="",G40&lt;&gt;""),"no dates - assumed 1 night",IF(Q40="","",IF(Q40&gt;1.5,"check: markup &gt;150%",IF(Q40&lt;0,"below cost",""))))</f>
        <v>no dates - assumed 1 night</v>
      </c>
    </row>
    <row r="41" customFormat="false" ht="15" hidden="false" customHeight="false" outlineLevel="0" collapsed="false">
      <c r="A41" s="9" t="s">
        <v>16</v>
      </c>
      <c r="B41" s="9" t="s">
        <v>236</v>
      </c>
      <c r="C41" s="9" t="s">
        <v>50</v>
      </c>
      <c r="D41" s="16"/>
      <c r="E41" s="16"/>
      <c r="F41" s="9" t="n">
        <f aca="false">IF(OR(D41="",E41=""),1,MAX(1,DATEVALUE(E41)-DATEVALUE(D41)))</f>
        <v>1</v>
      </c>
      <c r="G41" s="11" t="n">
        <v>48382</v>
      </c>
      <c r="H41" s="11" t="n">
        <v>50337</v>
      </c>
      <c r="I41" s="11"/>
      <c r="J41" s="11"/>
      <c r="K41" s="11"/>
      <c r="L41" s="12"/>
      <c r="M41" s="13"/>
      <c r="N41" s="14" t="n">
        <f aca="false">IF(G41="","",G41/F41)</f>
        <v>48382</v>
      </c>
      <c r="O41" s="14" t="n">
        <f aca="false">IF(COUNT(H41:K41)=0,"",MIN(H41:K41)/F41)</f>
        <v>50337</v>
      </c>
      <c r="P41" s="14" t="str">
        <f aca="false">IF(L41="","",L41*95/F41)</f>
        <v/>
      </c>
      <c r="Q41" s="15" t="n">
        <f aca="false">IF(OR(N41="",O41=""),"",(IF(AND(N41&gt;7500,O41&gt;7500),O41/(1+IF(O41&lt;=1000,0,IF(O41&lt;=7500,0.05,0.18)))-IF(AND(N41&gt;7500,O41&gt;7500),N41/1.18,N41),(O41-IF(AND(N41&gt;7500,O41&gt;7500),N41/1.18,N41))/(1+IF(O41&lt;=1000,0,IF(O41&lt;=7500,0.05,0.18)))))/(IF(AND(N41&gt;7500,O41&gt;7500),N41/1.18,N41)))</f>
        <v>0.0404075895994379</v>
      </c>
      <c r="R41" s="15" t="n">
        <f aca="false">IF(OR(N41="",O41=""),"",((O41-N41)/1.18)/N41)</f>
        <v>0.0342437199995236</v>
      </c>
      <c r="S41" s="15" t="str">
        <f aca="false">IF(OR(P41="",O41=""),"",(P41-O41)/O41)</f>
        <v/>
      </c>
      <c r="T41" s="9" t="str">
        <f aca="false">IF(AND(D41="",G41&lt;&gt;""),"no dates - assumed 1 night",IF(Q41="","",IF(Q41&gt;1.5,"check: markup &gt;150%",IF(Q41&lt;0,"below cost",""))))</f>
        <v>no dates - assumed 1 night</v>
      </c>
    </row>
    <row r="42" customFormat="false" ht="15" hidden="false" customHeight="false" outlineLevel="0" collapsed="false">
      <c r="A42" s="9" t="s">
        <v>16</v>
      </c>
      <c r="B42" s="9" t="s">
        <v>237</v>
      </c>
      <c r="C42" s="9" t="s">
        <v>41</v>
      </c>
      <c r="D42" s="10" t="s">
        <v>42</v>
      </c>
      <c r="E42" s="10" t="s">
        <v>43</v>
      </c>
      <c r="F42" s="9" t="n">
        <f aca="false">IF(OR(D42="",E42=""),1,MAX(1,DATEVALUE(E42)-DATEVALUE(D42)))</f>
        <v>3</v>
      </c>
      <c r="G42" s="11" t="n">
        <v>16787</v>
      </c>
      <c r="H42" s="11" t="n">
        <v>16956</v>
      </c>
      <c r="I42" s="11"/>
      <c r="J42" s="11"/>
      <c r="K42" s="11"/>
      <c r="L42" s="12" t="n">
        <v>160.4</v>
      </c>
      <c r="M42" s="13" t="n">
        <v>0.12</v>
      </c>
      <c r="N42" s="14" t="n">
        <f aca="false">IF(G42="","",G42/F42)</f>
        <v>5595.66666666667</v>
      </c>
      <c r="O42" s="14" t="n">
        <f aca="false">IF(COUNT(H42:K42)=0,"",MIN(H42:K42)/F42)</f>
        <v>5652</v>
      </c>
      <c r="P42" s="14" t="n">
        <f aca="false">IF(L42="","",L42*95/F42)</f>
        <v>5079.33333333333</v>
      </c>
      <c r="Q42" s="15" t="n">
        <f aca="false">IF(OR(N42="",O42=""),"",(IF(AND(N42&gt;7500,O42&gt;7500),O42/(1+IF(O42&lt;=1000,0,IF(O42&lt;=7500,0.05,0.18)))-IF(AND(N42&gt;7500,O42&gt;7500),N42/1.18,N42),(O42-IF(AND(N42&gt;7500,O42&gt;7500),N42/1.18,N42))/(1+IF(O42&lt;=1000,0,IF(O42&lt;=7500,0.05,0.18)))))/(IF(AND(N42&gt;7500,O42&gt;7500),N42/1.18,N42)))</f>
        <v>0.00958791808854352</v>
      </c>
      <c r="R42" s="15" t="n">
        <f aca="false">IF(OR(N42="",O42=""),"",((O42-N42)/1.18)/N42)</f>
        <v>0.00853162202794127</v>
      </c>
      <c r="S42" s="15" t="n">
        <f aca="false">IF(OR(P42="",O42=""),"",(P42-O42)/O42)</f>
        <v>-0.101321066289219</v>
      </c>
      <c r="T42" s="9" t="str">
        <f aca="false">IF(AND(D42="",G42&lt;&gt;""),"no dates - assumed 1 night",IF(Q42="","",IF(Q42&gt;1.5,"check: markup &gt;150%",IF(Q42&lt;0,"below cost",""))))</f>
        <v/>
      </c>
    </row>
    <row r="43" customFormat="false" ht="15" hidden="false" customHeight="false" outlineLevel="0" collapsed="false">
      <c r="A43" s="9" t="s">
        <v>16</v>
      </c>
      <c r="B43" s="9" t="s">
        <v>237</v>
      </c>
      <c r="C43" s="9" t="s">
        <v>44</v>
      </c>
      <c r="D43" s="10" t="s">
        <v>45</v>
      </c>
      <c r="E43" s="10" t="s">
        <v>46</v>
      </c>
      <c r="F43" s="9" t="n">
        <f aca="false">IF(OR(D43="",E43=""),1,MAX(1,DATEVALUE(E43)-DATEVALUE(D43)))</f>
        <v>3</v>
      </c>
      <c r="G43" s="11" t="n">
        <v>13929</v>
      </c>
      <c r="H43" s="11" t="n">
        <v>14122</v>
      </c>
      <c r="I43" s="11"/>
      <c r="J43" s="11"/>
      <c r="K43" s="11"/>
      <c r="L43" s="12" t="n">
        <v>131.22</v>
      </c>
      <c r="M43" s="13" t="n">
        <v>0.12</v>
      </c>
      <c r="N43" s="14" t="n">
        <f aca="false">IF(G43="","",G43/F43)</f>
        <v>4643</v>
      </c>
      <c r="O43" s="14" t="n">
        <f aca="false">IF(COUNT(H43:K43)=0,"",MIN(H43:K43)/F43)</f>
        <v>4707.33333333333</v>
      </c>
      <c r="P43" s="14" t="n">
        <f aca="false">IF(L43="","",L43*95/F43)</f>
        <v>4155.3</v>
      </c>
      <c r="Q43" s="15" t="n">
        <f aca="false">IF(OR(N43="",O43=""),"",(IF(AND(N43&gt;7500,O43&gt;7500),O43/(1+IF(O43&lt;=1000,0,IF(O43&lt;=7500,0.05,0.18)))-IF(AND(N43&gt;7500,O43&gt;7500),N43/1.18,N43),(O43-IF(AND(N43&gt;7500,O43&gt;7500),N43/1.18,N43))/(1+IF(O43&lt;=1000,0,IF(O43&lt;=7500,0.05,0.18)))))/(IF(AND(N43&gt;7500,O43&gt;7500),N43/1.18,N43)))</f>
        <v>0.0131961751604224</v>
      </c>
      <c r="R43" s="15" t="n">
        <f aca="false">IF(OR(N43="",O43=""),"",((O43-N43)/1.18)/N43)</f>
        <v>0.0117423592529182</v>
      </c>
      <c r="S43" s="15" t="n">
        <f aca="false">IF(OR(P43="",O43=""),"",(P43-O43)/O43)</f>
        <v>-0.117270924798187</v>
      </c>
      <c r="T43" s="9" t="str">
        <f aca="false">IF(AND(D43="",G43&lt;&gt;""),"no dates - assumed 1 night",IF(Q43="","",IF(Q43&gt;1.5,"check: markup &gt;150%",IF(Q43&lt;0,"below cost",""))))</f>
        <v/>
      </c>
    </row>
    <row r="44" customFormat="false" ht="15" hidden="false" customHeight="false" outlineLevel="0" collapsed="false">
      <c r="A44" s="9" t="s">
        <v>16</v>
      </c>
      <c r="B44" s="9" t="s">
        <v>237</v>
      </c>
      <c r="C44" s="9" t="s">
        <v>47</v>
      </c>
      <c r="D44" s="10" t="s">
        <v>48</v>
      </c>
      <c r="E44" s="10" t="s">
        <v>49</v>
      </c>
      <c r="F44" s="9" t="n">
        <f aca="false">IF(OR(D44="",E44=""),1,MAX(1,DATEVALUE(E44)-DATEVALUE(D44)))</f>
        <v>3</v>
      </c>
      <c r="G44" s="11" t="n">
        <v>29402</v>
      </c>
      <c r="H44" s="11" t="n">
        <v>29946</v>
      </c>
      <c r="I44" s="11"/>
      <c r="J44" s="11"/>
      <c r="K44" s="11"/>
      <c r="L44" s="12" t="n">
        <v>271.31</v>
      </c>
      <c r="M44" s="13" t="n">
        <v>0.12</v>
      </c>
      <c r="N44" s="14" t="n">
        <f aca="false">IF(G44="","",G44/F44)</f>
        <v>9800.66666666667</v>
      </c>
      <c r="O44" s="14" t="n">
        <f aca="false">IF(COUNT(H44:K44)=0,"",MIN(H44:K44)/F44)</f>
        <v>9982</v>
      </c>
      <c r="P44" s="14" t="n">
        <f aca="false">IF(L44="","",L44*95/F44)</f>
        <v>8591.48333333333</v>
      </c>
      <c r="Q44" s="15" t="n">
        <f aca="false">IF(OR(N44="",O44=""),"",(IF(AND(N44&gt;7500,O44&gt;7500),O44/(1+IF(O44&lt;=1000,0,IF(O44&lt;=7500,0.05,0.18)))-IF(AND(N44&gt;7500,O44&gt;7500),N44/1.18,N44),(O44-IF(AND(N44&gt;7500,O44&gt;7500),N44/1.18,N44))/(1+IF(O44&lt;=1000,0,IF(O44&lt;=7500,0.05,0.18)))))/(IF(AND(N44&gt;7500,O44&gt;7500),N44/1.18,N44)))</f>
        <v>0.0185021427113801</v>
      </c>
      <c r="R44" s="15" t="n">
        <f aca="false">IF(OR(N44="",O44=""),"",((O44-N44)/1.18)/N44)</f>
        <v>0.0156797819587968</v>
      </c>
      <c r="S44" s="15" t="n">
        <f aca="false">IF(OR(P44="",O44=""),"",(P44-O44)/O44)</f>
        <v>-0.139302411006478</v>
      </c>
      <c r="T44" s="9" t="str">
        <f aca="false">IF(AND(D44="",G44&lt;&gt;""),"no dates - assumed 1 night",IF(Q44="","",IF(Q44&gt;1.5,"check: markup &gt;150%",IF(Q44&lt;0,"below cost",""))))</f>
        <v/>
      </c>
    </row>
    <row r="45" customFormat="false" ht="15" hidden="false" customHeight="false" outlineLevel="0" collapsed="false">
      <c r="A45" s="9" t="s">
        <v>16</v>
      </c>
      <c r="B45" s="9" t="s">
        <v>237</v>
      </c>
      <c r="C45" s="9" t="s">
        <v>50</v>
      </c>
      <c r="D45" s="10" t="s">
        <v>51</v>
      </c>
      <c r="E45" s="10" t="s">
        <v>52</v>
      </c>
      <c r="F45" s="9" t="n">
        <f aca="false">IF(OR(D45="",E45=""),1,MAX(1,DATEVALUE(E45)-DATEVALUE(D45)))</f>
        <v>3</v>
      </c>
      <c r="G45" s="11" t="n">
        <v>43889</v>
      </c>
      <c r="H45" s="11" t="n">
        <v>47151</v>
      </c>
      <c r="I45" s="11"/>
      <c r="J45" s="11"/>
      <c r="K45" s="11"/>
      <c r="L45" s="12" t="n">
        <v>452.13</v>
      </c>
      <c r="M45" s="13" t="n">
        <v>0.12</v>
      </c>
      <c r="N45" s="14" t="n">
        <f aca="false">IF(G45="","",G45/F45)</f>
        <v>14629.6666666667</v>
      </c>
      <c r="O45" s="14" t="n">
        <f aca="false">IF(COUNT(H45:K45)=0,"",MIN(H45:K45)/F45)</f>
        <v>15717</v>
      </c>
      <c r="P45" s="14" t="n">
        <f aca="false">IF(L45="","",L45*95/F45)</f>
        <v>14317.45</v>
      </c>
      <c r="Q45" s="15" t="n">
        <f aca="false">IF(OR(N45="",O45=""),"",(IF(AND(N45&gt;7500,O45&gt;7500),O45/(1+IF(O45&lt;=1000,0,IF(O45&lt;=7500,0.05,0.18)))-IF(AND(N45&gt;7500,O45&gt;7500),N45/1.18,N45),(O45-IF(AND(N45&gt;7500,O45&gt;7500),N45/1.18,N45))/(1+IF(O45&lt;=1000,0,IF(O45&lt;=7500,0.05,0.18)))))/(IF(AND(N45&gt;7500,O45&gt;7500),N45/1.18,N45)))</f>
        <v>0.0743238624712343</v>
      </c>
      <c r="R45" s="15" t="n">
        <f aca="false">IF(OR(N45="",O45=""),"",((O45-N45)/1.18)/N45)</f>
        <v>0.0629863241281647</v>
      </c>
      <c r="S45" s="15" t="n">
        <f aca="false">IF(OR(P45="",O45=""),"",(P45-O45)/O45)</f>
        <v>-0.08904689190049</v>
      </c>
      <c r="T45" s="9" t="str">
        <f aca="false">IF(AND(D45="",G45&lt;&gt;""),"no dates - assumed 1 night",IF(Q45="","",IF(Q45&gt;1.5,"check: markup &gt;150%",IF(Q45&lt;0,"below cost",""))))</f>
        <v/>
      </c>
    </row>
    <row r="47" customFormat="false" ht="15" hidden="false" customHeight="false" outlineLevel="0" collapsed="false">
      <c r="A47" s="2" t="s">
        <v>86</v>
      </c>
    </row>
  </sheetData>
  <autoFilter ref="A1:T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11" min="7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9" min="17" style="0" width="10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8" t="s">
        <v>2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2" customFormat="false" ht="15" hidden="false" customHeight="false" outlineLevel="0" collapsed="false">
      <c r="A2" s="9" t="s">
        <v>17</v>
      </c>
      <c r="B2" s="9" t="s">
        <v>238</v>
      </c>
      <c r="C2" s="9" t="s">
        <v>44</v>
      </c>
      <c r="D2" s="10" t="s">
        <v>45</v>
      </c>
      <c r="E2" s="10" t="s">
        <v>46</v>
      </c>
      <c r="F2" s="9" t="n">
        <f aca="false">IF(OR(D2="",E2=""),1,MAX(1,DATEVALUE(E2)-DATEVALUE(D2)))</f>
        <v>3</v>
      </c>
      <c r="G2" s="11" t="n">
        <v>40967</v>
      </c>
      <c r="H2" s="11" t="n">
        <v>46003</v>
      </c>
      <c r="I2" s="11"/>
      <c r="J2" s="11"/>
      <c r="K2" s="11"/>
      <c r="L2" s="12" t="n">
        <v>523.9</v>
      </c>
      <c r="M2" s="13" t="n">
        <v>0.13</v>
      </c>
      <c r="N2" s="14" t="n">
        <f aca="false">IF(G2="","",G2/F2)</f>
        <v>13655.6666666667</v>
      </c>
      <c r="O2" s="14" t="n">
        <f aca="false">IF(COUNT(H2:K2)=0,"",MIN(H2:K2)/F2)</f>
        <v>15334.3333333333</v>
      </c>
      <c r="P2" s="14" t="n">
        <f aca="false">IF(L2="","",L2*95/F2)</f>
        <v>16590.1666666667</v>
      </c>
      <c r="Q2" s="15" t="n">
        <f aca="false">IF(OR(N2="",O2=""),"",(IF(AND(N2&gt;7500,O2&gt;7500),O2/(1+IF(O2&lt;=1000,0,IF(O2&lt;=7500,0.05,0.18)))-IF(AND(N2&gt;7500,O2&gt;7500),N2/1.18,N2),(O2-IF(AND(N2&gt;7500,O2&gt;7500),N2/1.18,N2))/(1+IF(O2&lt;=1000,0,IF(O2&lt;=7500,0.05,0.18)))))/(IF(AND(N2&gt;7500,O2&gt;7500),N2/1.18,N2)))</f>
        <v>0.122928210510899</v>
      </c>
      <c r="R2" s="15" t="n">
        <f aca="false">IF(OR(N2="",O2=""),"",((O2-N2)/1.18)/N2)</f>
        <v>0.104176449585508</v>
      </c>
      <c r="S2" s="15" t="n">
        <f aca="false">IF(OR(P2="",O2=""),"",(P2-O2)/O2)</f>
        <v>0.0818968328152512</v>
      </c>
      <c r="T2" s="9" t="str">
        <f aca="false">IF(AND(D2="",G2&lt;&gt;""),"no dates - assumed 1 night",IF(Q2="","",IF(Q2&gt;1.5,"check: markup &gt;150%",IF(Q2&lt;0,"below cost",""))))</f>
        <v/>
      </c>
    </row>
    <row r="3" customFormat="false" ht="15" hidden="false" customHeight="false" outlineLevel="0" collapsed="false">
      <c r="A3" s="9" t="s">
        <v>17</v>
      </c>
      <c r="B3" s="9" t="s">
        <v>238</v>
      </c>
      <c r="C3" s="9" t="s">
        <v>47</v>
      </c>
      <c r="D3" s="10" t="s">
        <v>239</v>
      </c>
      <c r="E3" s="10" t="s">
        <v>240</v>
      </c>
      <c r="F3" s="9" t="n">
        <f aca="false">IF(OR(D3="",E3=""),1,MAX(1,DATEVALUE(E3)-DATEVALUE(D3)))</f>
        <v>5</v>
      </c>
      <c r="G3" s="11" t="n">
        <v>96853</v>
      </c>
      <c r="H3" s="11" t="n">
        <v>135119</v>
      </c>
      <c r="I3" s="11"/>
      <c r="J3" s="11"/>
      <c r="K3" s="11"/>
      <c r="L3" s="12" t="n">
        <v>1256.63</v>
      </c>
      <c r="M3" s="13" t="n">
        <v>0.11</v>
      </c>
      <c r="N3" s="14" t="n">
        <f aca="false">IF(G3="","",G3/F3)</f>
        <v>19370.6</v>
      </c>
      <c r="O3" s="14" t="n">
        <f aca="false">IF(COUNT(H3:K3)=0,"",MIN(H3:K3)/F3)</f>
        <v>27023.8</v>
      </c>
      <c r="P3" s="14" t="n">
        <f aca="false">IF(L3="","",L3*95/F3)</f>
        <v>23875.97</v>
      </c>
      <c r="Q3" s="15" t="n">
        <f aca="false">IF(OR(N3="",O3=""),"",(IF(AND(N3&gt;7500,O3&gt;7500),O3/(1+IF(O3&lt;=1000,0,IF(O3&lt;=7500,0.05,0.18)))-IF(AND(N3&gt;7500,O3&gt;7500),N3/1.18,N3),(O3-IF(AND(N3&gt;7500,O3&gt;7500),N3/1.18,N3))/(1+IF(O3&lt;=1000,0,IF(O3&lt;=7500,0.05,0.18)))))/(IF(AND(N3&gt;7500,O3&gt;7500),N3/1.18,N3)))</f>
        <v>0.395093595448773</v>
      </c>
      <c r="R3" s="15" t="n">
        <f aca="false">IF(OR(N3="",O3=""),"",((O3-N3)/1.18)/N3)</f>
        <v>0.334825080888791</v>
      </c>
      <c r="S3" s="15" t="n">
        <f aca="false">IF(OR(P3="",O3=""),"",(P3-O3)/O3)</f>
        <v>-0.116483618144006</v>
      </c>
      <c r="T3" s="9" t="str">
        <f aca="false">IF(AND(D3="",G3&lt;&gt;""),"no dates - assumed 1 night",IF(Q3="","",IF(Q3&gt;1.5,"check: markup &gt;150%",IF(Q3&lt;0,"below cost",""))))</f>
        <v/>
      </c>
    </row>
    <row r="4" customFormat="false" ht="15" hidden="false" customHeight="false" outlineLevel="0" collapsed="false">
      <c r="A4" s="9" t="s">
        <v>17</v>
      </c>
      <c r="B4" s="9" t="s">
        <v>238</v>
      </c>
      <c r="C4" s="9" t="s">
        <v>50</v>
      </c>
      <c r="D4" s="10" t="s">
        <v>200</v>
      </c>
      <c r="E4" s="10" t="s">
        <v>130</v>
      </c>
      <c r="F4" s="9" t="n">
        <f aca="false">IF(OR(D4="",E4=""),1,MAX(1,DATEVALUE(E4)-DATEVALUE(D4)))</f>
        <v>5</v>
      </c>
      <c r="G4" s="11" t="n">
        <v>131591</v>
      </c>
      <c r="H4" s="11" t="n">
        <v>253109</v>
      </c>
      <c r="I4" s="11"/>
      <c r="J4" s="11"/>
      <c r="K4" s="11"/>
      <c r="L4" s="12" t="n">
        <v>1804.12</v>
      </c>
      <c r="M4" s="13" t="n">
        <v>0.14</v>
      </c>
      <c r="N4" s="14" t="n">
        <f aca="false">IF(G4="","",G4/F4)</f>
        <v>26318.2</v>
      </c>
      <c r="O4" s="14" t="n">
        <f aca="false">IF(COUNT(H4:K4)=0,"",MIN(H4:K4)/F4)</f>
        <v>50621.8</v>
      </c>
      <c r="P4" s="14" t="n">
        <f aca="false">IF(L4="","",L4*95/F4)</f>
        <v>34278.28</v>
      </c>
      <c r="Q4" s="15" t="n">
        <f aca="false">IF(OR(N4="",O4=""),"",(IF(AND(N4&gt;7500,O4&gt;7500),O4/(1+IF(O4&lt;=1000,0,IF(O4&lt;=7500,0.05,0.18)))-IF(AND(N4&gt;7500,O4&gt;7500),N4/1.18,N4),(O4-IF(AND(N4&gt;7500,O4&gt;7500),N4/1.18,N4))/(1+IF(O4&lt;=1000,0,IF(O4&lt;=7500,0.05,0.18)))))/(IF(AND(N4&gt;7500,O4&gt;7500),N4/1.18,N4)))</f>
        <v>0.923452211777401</v>
      </c>
      <c r="R4" s="15" t="n">
        <f aca="false">IF(OR(N4="",O4=""),"",((O4-N4)/1.18)/N4)</f>
        <v>0.78258662015034</v>
      </c>
      <c r="S4" s="15" t="n">
        <f aca="false">IF(OR(P4="",O4=""),"",(P4-O4)/O4)</f>
        <v>-0.322855370611081</v>
      </c>
      <c r="T4" s="9" t="str">
        <f aca="false">IF(AND(D4="",G4&lt;&gt;""),"no dates - assumed 1 night",IF(Q4="","",IF(Q4&gt;1.5,"check: markup &gt;150%",IF(Q4&lt;0,"below cost",""))))</f>
        <v/>
      </c>
    </row>
    <row r="5" customFormat="false" ht="15" hidden="false" customHeight="false" outlineLevel="0" collapsed="false">
      <c r="A5" s="9" t="s">
        <v>17</v>
      </c>
      <c r="B5" s="9" t="s">
        <v>241</v>
      </c>
      <c r="C5" s="9" t="s">
        <v>44</v>
      </c>
      <c r="D5" s="10" t="s">
        <v>45</v>
      </c>
      <c r="E5" s="10" t="s">
        <v>46</v>
      </c>
      <c r="F5" s="9" t="n">
        <f aca="false">IF(OR(D5="",E5=""),1,MAX(1,DATEVALUE(E5)-DATEVALUE(D5)))</f>
        <v>3</v>
      </c>
      <c r="G5" s="11" t="n">
        <v>15097</v>
      </c>
      <c r="H5" s="11" t="n">
        <v>24452</v>
      </c>
      <c r="I5" s="11"/>
      <c r="J5" s="11"/>
      <c r="K5" s="11"/>
      <c r="L5" s="12" t="n">
        <v>254.64</v>
      </c>
      <c r="M5" s="13" t="n">
        <v>0.12</v>
      </c>
      <c r="N5" s="14" t="n">
        <f aca="false">IF(G5="","",G5/F5)</f>
        <v>5032.33333333333</v>
      </c>
      <c r="O5" s="14" t="n">
        <f aca="false">IF(COUNT(H5:K5)=0,"",MIN(H5:K5)/F5)</f>
        <v>8150.66666666667</v>
      </c>
      <c r="P5" s="14" t="n">
        <f aca="false">IF(L5="","",L5*95/F5)</f>
        <v>8063.6</v>
      </c>
      <c r="Q5" s="15" t="n">
        <f aca="false">IF(OR(N5="",O5=""),"",(IF(AND(N5&gt;7500,O5&gt;7500),O5/(1+IF(O5&lt;=1000,0,IF(O5&lt;=7500,0.05,0.18)))-IF(AND(N5&gt;7500,O5&gt;7500),N5/1.18,N5),(O5-IF(AND(N5&gt;7500,O5&gt;7500),N5/1.18,N5))/(1+IF(O5&lt;=1000,0,IF(O5&lt;=7500,0.05,0.18)))))/(IF(AND(N5&gt;7500,O5&gt;7500),N5/1.18,N5)))</f>
        <v>0.525135199158437</v>
      </c>
      <c r="R5" s="15" t="n">
        <f aca="false">IF(OR(N5="",O5=""),"",((O5-N5)/1.18)/N5)</f>
        <v>0.525135199158437</v>
      </c>
      <c r="S5" s="15" t="n">
        <f aca="false">IF(OR(P5="",O5=""),"",(P5-O5)/O5)</f>
        <v>-0.010682152789138</v>
      </c>
      <c r="T5" s="9" t="str">
        <f aca="false">IF(AND(D5="",G5&lt;&gt;""),"no dates - assumed 1 night",IF(Q5="","",IF(Q5&gt;1.5,"check: markup &gt;150%",IF(Q5&lt;0,"below cost",""))))</f>
        <v/>
      </c>
    </row>
    <row r="6" customFormat="false" ht="15" hidden="false" customHeight="false" outlineLevel="0" collapsed="false">
      <c r="A6" s="9" t="s">
        <v>17</v>
      </c>
      <c r="B6" s="9" t="s">
        <v>241</v>
      </c>
      <c r="C6" s="9" t="s">
        <v>47</v>
      </c>
      <c r="D6" s="10" t="s">
        <v>239</v>
      </c>
      <c r="E6" s="10" t="s">
        <v>240</v>
      </c>
      <c r="F6" s="9" t="n">
        <f aca="false">IF(OR(D6="",E6=""),1,MAX(1,DATEVALUE(E6)-DATEVALUE(D6)))</f>
        <v>5</v>
      </c>
      <c r="G6" s="11" t="n">
        <v>87726</v>
      </c>
      <c r="H6" s="11" t="n">
        <v>101298</v>
      </c>
      <c r="I6" s="11"/>
      <c r="J6" s="11"/>
      <c r="K6" s="11"/>
      <c r="L6" s="12" t="n">
        <v>1040.13</v>
      </c>
      <c r="M6" s="13" t="n">
        <v>0.09</v>
      </c>
      <c r="N6" s="14" t="n">
        <f aca="false">IF(G6="","",G6/F6)</f>
        <v>17545.2</v>
      </c>
      <c r="O6" s="14" t="n">
        <f aca="false">IF(COUNT(H6:K6)=0,"",MIN(H6:K6)/F6)</f>
        <v>20259.6</v>
      </c>
      <c r="P6" s="14" t="n">
        <f aca="false">IF(L6="","",L6*95/F6)</f>
        <v>19762.47</v>
      </c>
      <c r="Q6" s="15" t="n">
        <f aca="false">IF(OR(N6="",O6=""),"",(IF(AND(N6&gt;7500,O6&gt;7500),O6/(1+IF(O6&lt;=1000,0,IF(O6&lt;=7500,0.05,0.18)))-IF(AND(N6&gt;7500,O6&gt;7500),N6/1.18,N6),(O6-IF(AND(N6&gt;7500,O6&gt;7500),N6/1.18,N6))/(1+IF(O6&lt;=1000,0,IF(O6&lt;=7500,0.05,0.18)))))/(IF(AND(N6&gt;7500,O6&gt;7500),N6/1.18,N6)))</f>
        <v>0.15470898023391</v>
      </c>
      <c r="R6" s="15" t="n">
        <f aca="false">IF(OR(N6="",O6=""),"",((O6-N6)/1.18)/N6)</f>
        <v>0.131109305282975</v>
      </c>
      <c r="S6" s="15" t="n">
        <f aca="false">IF(OR(P6="",O6=""),"",(P6-O6)/O6)</f>
        <v>-0.0245379968015162</v>
      </c>
      <c r="T6" s="9" t="str">
        <f aca="false">IF(AND(D6="",G6&lt;&gt;""),"no dates - assumed 1 night",IF(Q6="","",IF(Q6&gt;1.5,"check: markup &gt;150%",IF(Q6&lt;0,"below cost",""))))</f>
        <v/>
      </c>
    </row>
    <row r="7" customFormat="false" ht="15" hidden="false" customHeight="false" outlineLevel="0" collapsed="false">
      <c r="A7" s="9" t="s">
        <v>17</v>
      </c>
      <c r="B7" s="9" t="s">
        <v>241</v>
      </c>
      <c r="C7" s="9" t="s">
        <v>50</v>
      </c>
      <c r="D7" s="10" t="s">
        <v>200</v>
      </c>
      <c r="E7" s="10" t="s">
        <v>130</v>
      </c>
      <c r="F7" s="9" t="n">
        <f aca="false">IF(OR(D7="",E7=""),1,MAX(1,DATEVALUE(E7)-DATEVALUE(D7)))</f>
        <v>5</v>
      </c>
      <c r="G7" s="11" t="n">
        <v>196192</v>
      </c>
      <c r="H7" s="11" t="n">
        <v>219739</v>
      </c>
      <c r="I7" s="11"/>
      <c r="J7" s="11"/>
      <c r="K7" s="11"/>
      <c r="L7" s="12" t="n">
        <v>2288.33</v>
      </c>
      <c r="M7" s="13" t="n">
        <v>0.12</v>
      </c>
      <c r="N7" s="14" t="n">
        <f aca="false">IF(G7="","",G7/F7)</f>
        <v>39238.4</v>
      </c>
      <c r="O7" s="14" t="n">
        <f aca="false">IF(COUNT(H7:K7)=0,"",MIN(H7:K7)/F7)</f>
        <v>43947.8</v>
      </c>
      <c r="P7" s="14" t="n">
        <f aca="false">IF(L7="","",L7*95/F7)</f>
        <v>43478.27</v>
      </c>
      <c r="Q7" s="15" t="n">
        <f aca="false">IF(OR(N7="",O7=""),"",(IF(AND(N7&gt;7500,O7&gt;7500),O7/(1+IF(O7&lt;=1000,0,IF(O7&lt;=7500,0.05,0.18)))-IF(AND(N7&gt;7500,O7&gt;7500),N7/1.18,N7),(O7-IF(AND(N7&gt;7500,O7&gt;7500),N7/1.18,N7))/(1+IF(O7&lt;=1000,0,IF(O7&lt;=7500,0.05,0.18)))))/(IF(AND(N7&gt;7500,O7&gt;7500),N7/1.18,N7)))</f>
        <v>0.120020184309248</v>
      </c>
      <c r="R7" s="15" t="n">
        <f aca="false">IF(OR(N7="",O7=""),"",((O7-N7)/1.18)/N7)</f>
        <v>0.101712020601058</v>
      </c>
      <c r="S7" s="15" t="n">
        <f aca="false">IF(OR(P7="",O7=""),"",(P7-O7)/O7)</f>
        <v>-0.0106838112487997</v>
      </c>
      <c r="T7" s="9" t="str">
        <f aca="false">IF(AND(D7="",G7&lt;&gt;""),"no dates - assumed 1 night",IF(Q7="","",IF(Q7&gt;1.5,"check: markup &gt;150%",IF(Q7&lt;0,"below cost",""))))</f>
        <v/>
      </c>
    </row>
    <row r="8" customFormat="false" ht="15" hidden="false" customHeight="false" outlineLevel="0" collapsed="false">
      <c r="A8" s="9" t="s">
        <v>17</v>
      </c>
      <c r="B8" s="9" t="s">
        <v>242</v>
      </c>
      <c r="C8" s="9" t="s">
        <v>44</v>
      </c>
      <c r="D8" s="10" t="s">
        <v>45</v>
      </c>
      <c r="E8" s="10" t="s">
        <v>46</v>
      </c>
      <c r="F8" s="9" t="n">
        <f aca="false">IF(OR(D8="",E8=""),1,MAX(1,DATEVALUE(E8)-DATEVALUE(D8)))</f>
        <v>3</v>
      </c>
      <c r="G8" s="11" t="n">
        <v>17515</v>
      </c>
      <c r="H8" s="11" t="n">
        <v>21288</v>
      </c>
      <c r="I8" s="11"/>
      <c r="J8" s="11"/>
      <c r="K8" s="11"/>
      <c r="L8" s="12" t="n">
        <v>244.89</v>
      </c>
      <c r="M8" s="13" t="n">
        <v>0.16</v>
      </c>
      <c r="N8" s="14" t="n">
        <f aca="false">IF(G8="","",G8/F8)</f>
        <v>5838.33333333333</v>
      </c>
      <c r="O8" s="14" t="n">
        <f aca="false">IF(COUNT(H8:K8)=0,"",MIN(H8:K8)/F8)</f>
        <v>7096</v>
      </c>
      <c r="P8" s="14" t="n">
        <f aca="false">IF(L8="","",L8*95/F8)</f>
        <v>7754.85</v>
      </c>
      <c r="Q8" s="15" t="n">
        <f aca="false">IF(OR(N8="",O8=""),"",(IF(AND(N8&gt;7500,O8&gt;7500),O8/(1+IF(O8&lt;=1000,0,IF(O8&lt;=7500,0.05,0.18)))-IF(AND(N8&gt;7500,O8&gt;7500),N8/1.18,N8),(O8-IF(AND(N8&gt;7500,O8&gt;7500),N8/1.18,N8))/(1+IF(O8&lt;=1000,0,IF(O8&lt;=7500,0.05,0.18)))))/(IF(AND(N8&gt;7500,O8&gt;7500),N8/1.18,N8)))</f>
        <v>0.205157484061281</v>
      </c>
      <c r="R8" s="15" t="n">
        <f aca="false">IF(OR(N8="",O8=""),"",((O8-N8)/1.18)/N8)</f>
        <v>0.182555388359614</v>
      </c>
      <c r="S8" s="15" t="n">
        <f aca="false">IF(OR(P8="",O8=""),"",(P8-O8)/O8)</f>
        <v>0.0928480834272829</v>
      </c>
      <c r="T8" s="9" t="str">
        <f aca="false">IF(AND(D8="",G8&lt;&gt;""),"no dates - assumed 1 night",IF(Q8="","",IF(Q8&gt;1.5,"check: markup &gt;150%",IF(Q8&lt;0,"below cost",""))))</f>
        <v/>
      </c>
    </row>
    <row r="9" customFormat="false" ht="15" hidden="false" customHeight="false" outlineLevel="0" collapsed="false">
      <c r="A9" s="9" t="s">
        <v>17</v>
      </c>
      <c r="B9" s="9" t="s">
        <v>242</v>
      </c>
      <c r="C9" s="9" t="s">
        <v>47</v>
      </c>
      <c r="D9" s="10" t="s">
        <v>239</v>
      </c>
      <c r="E9" s="10" t="s">
        <v>240</v>
      </c>
      <c r="F9" s="9" t="n">
        <f aca="false">IF(OR(D9="",E9=""),1,MAX(1,DATEVALUE(E9)-DATEVALUE(D9)))</f>
        <v>5</v>
      </c>
      <c r="G9" s="11" t="n">
        <v>92230</v>
      </c>
      <c r="H9" s="11" t="n">
        <v>106911</v>
      </c>
      <c r="I9" s="11"/>
      <c r="J9" s="11"/>
      <c r="K9" s="11"/>
      <c r="L9" s="12" t="n">
        <v>1230.48</v>
      </c>
      <c r="M9" s="13" t="n">
        <v>0.16</v>
      </c>
      <c r="N9" s="14" t="n">
        <f aca="false">IF(G9="","",G9/F9)</f>
        <v>18446</v>
      </c>
      <c r="O9" s="14" t="n">
        <f aca="false">IF(COUNT(H9:K9)=0,"",MIN(H9:K9)/F9)</f>
        <v>21382.2</v>
      </c>
      <c r="P9" s="14" t="n">
        <f aca="false">IF(L9="","",L9*95/F9)</f>
        <v>23379.12</v>
      </c>
      <c r="Q9" s="15" t="n">
        <f aca="false">IF(OR(N9="",O9=""),"",(IF(AND(N9&gt;7500,O9&gt;7500),O9/(1+IF(O9&lt;=1000,0,IF(O9&lt;=7500,0.05,0.18)))-IF(AND(N9&gt;7500,O9&gt;7500),N9/1.18,N9),(O9-IF(AND(N9&gt;7500,O9&gt;7500),N9/1.18,N9))/(1+IF(O9&lt;=1000,0,IF(O9&lt;=7500,0.05,0.18)))))/(IF(AND(N9&gt;7500,O9&gt;7500),N9/1.18,N9)))</f>
        <v>0.159178141602516</v>
      </c>
      <c r="R9" s="15" t="n">
        <f aca="false">IF(OR(N9="",O9=""),"",((O9-N9)/1.18)/N9)</f>
        <v>0.134896730171623</v>
      </c>
      <c r="S9" s="15" t="n">
        <f aca="false">IF(OR(P9="",O9=""),"",(P9-O9)/O9)</f>
        <v>0.0933916996380168</v>
      </c>
      <c r="T9" s="9" t="str">
        <f aca="false">IF(AND(D9="",G9&lt;&gt;""),"no dates - assumed 1 night",IF(Q9="","",IF(Q9&gt;1.5,"check: markup &gt;150%",IF(Q9&lt;0,"below cost",""))))</f>
        <v/>
      </c>
    </row>
    <row r="10" customFormat="false" ht="15" hidden="false" customHeight="false" outlineLevel="0" collapsed="false">
      <c r="A10" s="9" t="s">
        <v>17</v>
      </c>
      <c r="B10" s="9" t="s">
        <v>242</v>
      </c>
      <c r="C10" s="9" t="s">
        <v>50</v>
      </c>
      <c r="D10" s="16"/>
      <c r="E10" s="16"/>
      <c r="F10" s="9" t="n">
        <f aca="false">IF(OR(D10="",E10=""),1,MAX(1,DATEVALUE(E10)-DATEVALUE(D10)))</f>
        <v>1</v>
      </c>
      <c r="G10" s="11" t="n">
        <v>183042</v>
      </c>
      <c r="H10" s="11" t="n">
        <v>209443</v>
      </c>
      <c r="I10" s="11"/>
      <c r="J10" s="11"/>
      <c r="K10" s="11"/>
      <c r="L10" s="12" t="n">
        <v>2416.54</v>
      </c>
      <c r="M10" s="13" t="n">
        <v>0.16</v>
      </c>
      <c r="N10" s="14" t="n">
        <f aca="false">IF(G10="","",G10/F10)</f>
        <v>183042</v>
      </c>
      <c r="O10" s="14" t="n">
        <f aca="false">IF(COUNT(H10:K10)=0,"",MIN(H10:K10)/F10)</f>
        <v>209443</v>
      </c>
      <c r="P10" s="14" t="n">
        <f aca="false">IF(L10="","",L10*95/F10)</f>
        <v>229571.3</v>
      </c>
      <c r="Q10" s="15" t="n">
        <f aca="false">IF(OR(N10="",O10=""),"",(IF(AND(N10&gt;7500,O10&gt;7500),O10/(1+IF(O10&lt;=1000,0,IF(O10&lt;=7500,0.05,0.18)))-IF(AND(N10&gt;7500,O10&gt;7500),N10/1.18,N10),(O10-IF(AND(N10&gt;7500,O10&gt;7500),N10/1.18,N10))/(1+IF(O10&lt;=1000,0,IF(O10&lt;=7500,0.05,0.18)))))/(IF(AND(N10&gt;7500,O10&gt;7500),N10/1.18,N10)))</f>
        <v>0.144234656526917</v>
      </c>
      <c r="R10" s="15" t="n">
        <f aca="false">IF(OR(N10="",O10=""),"",((O10-N10)/1.18)/N10)</f>
        <v>0.122232759768574</v>
      </c>
      <c r="S10" s="15" t="n">
        <f aca="false">IF(OR(P10="",O10=""),"",(P10-O10)/O10)</f>
        <v>0.0961039519105436</v>
      </c>
      <c r="T10" s="9" t="str">
        <f aca="false">IF(AND(D10="",G10&lt;&gt;""),"no dates - assumed 1 night",IF(Q10="","",IF(Q10&gt;1.5,"check: markup &gt;150%",IF(Q10&lt;0,"below cost",""))))</f>
        <v>no dates - assumed 1 night</v>
      </c>
    </row>
    <row r="11" customFormat="false" ht="15" hidden="false" customHeight="false" outlineLevel="0" collapsed="false">
      <c r="A11" s="9" t="s">
        <v>17</v>
      </c>
      <c r="B11" s="9" t="s">
        <v>243</v>
      </c>
      <c r="C11" s="9" t="s">
        <v>44</v>
      </c>
      <c r="D11" s="10" t="s">
        <v>45</v>
      </c>
      <c r="E11" s="10" t="s">
        <v>46</v>
      </c>
      <c r="F11" s="9" t="n">
        <f aca="false">IF(OR(D11="",E11=""),1,MAX(1,DATEVALUE(E11)-DATEVALUE(D11)))</f>
        <v>3</v>
      </c>
      <c r="G11" s="11" t="n">
        <v>28970</v>
      </c>
      <c r="H11" s="11" t="n">
        <v>36504</v>
      </c>
      <c r="I11" s="11"/>
      <c r="J11" s="11"/>
      <c r="K11" s="11"/>
      <c r="L11" s="12" t="n">
        <v>548.4</v>
      </c>
      <c r="M11" s="13"/>
      <c r="N11" s="14" t="n">
        <f aca="false">IF(G11="","",G11/F11)</f>
        <v>9656.66666666667</v>
      </c>
      <c r="O11" s="14" t="n">
        <f aca="false">IF(COUNT(H11:K11)=0,"",MIN(H11:K11)/F11)</f>
        <v>12168</v>
      </c>
      <c r="P11" s="14" t="n">
        <f aca="false">IF(L11="","",L11*95/F11)</f>
        <v>17366</v>
      </c>
      <c r="Q11" s="15" t="n">
        <f aca="false">IF(OR(N11="",O11=""),"",(IF(AND(N11&gt;7500,O11&gt;7500),O11/(1+IF(O11&lt;=1000,0,IF(O11&lt;=7500,0.05,0.18)))-IF(AND(N11&gt;7500,O11&gt;7500),N11/1.18,N11),(O11-IF(AND(N11&gt;7500,O11&gt;7500),N11/1.18,N11))/(1+IF(O11&lt;=1000,0,IF(O11&lt;=7500,0.05,0.18)))))/(IF(AND(N11&gt;7500,O11&gt;7500),N11/1.18,N11)))</f>
        <v>0.260062133241284</v>
      </c>
      <c r="R11" s="15" t="n">
        <f aca="false">IF(OR(N11="",O11=""),"",((O11-N11)/1.18)/N11)</f>
        <v>0.220391638340071</v>
      </c>
      <c r="S11" s="15" t="n">
        <f aca="false">IF(OR(P11="",O11=""),"",(P11-O11)/O11)</f>
        <v>0.427186061801446</v>
      </c>
      <c r="T11" s="9" t="str">
        <f aca="false">IF(AND(D11="",G11&lt;&gt;""),"no dates - assumed 1 night",IF(Q11="","",IF(Q11&gt;1.5,"check: markup &gt;150%",IF(Q11&lt;0,"below cost",""))))</f>
        <v/>
      </c>
    </row>
    <row r="12" customFormat="false" ht="15" hidden="false" customHeight="false" outlineLevel="0" collapsed="false">
      <c r="A12" s="9" t="s">
        <v>17</v>
      </c>
      <c r="B12" s="9" t="s">
        <v>243</v>
      </c>
      <c r="C12" s="9" t="s">
        <v>47</v>
      </c>
      <c r="D12" s="10" t="s">
        <v>239</v>
      </c>
      <c r="E12" s="10" t="s">
        <v>240</v>
      </c>
      <c r="F12" s="9" t="n">
        <f aca="false">IF(OR(D12="",E12=""),1,MAX(1,DATEVALUE(E12)-DATEVALUE(D12)))</f>
        <v>5</v>
      </c>
      <c r="G12" s="11" t="n">
        <v>110756</v>
      </c>
      <c r="H12" s="11" t="n">
        <v>127406</v>
      </c>
      <c r="I12" s="11"/>
      <c r="J12" s="11"/>
      <c r="K12" s="11"/>
      <c r="L12" s="12" t="n">
        <v>1909.95</v>
      </c>
      <c r="M12" s="13" t="n">
        <v>0.19</v>
      </c>
      <c r="N12" s="14" t="n">
        <f aca="false">IF(G12="","",G12/F12)</f>
        <v>22151.2</v>
      </c>
      <c r="O12" s="14" t="n">
        <f aca="false">IF(COUNT(H12:K12)=0,"",MIN(H12:K12)/F12)</f>
        <v>25481.2</v>
      </c>
      <c r="P12" s="14" t="n">
        <f aca="false">IF(L12="","",L12*95/F12)</f>
        <v>36289.05</v>
      </c>
      <c r="Q12" s="15" t="n">
        <f aca="false">IF(OR(N12="",O12=""),"",(IF(AND(N12&gt;7500,O12&gt;7500),O12/(1+IF(O12&lt;=1000,0,IF(O12&lt;=7500,0.05,0.18)))-IF(AND(N12&gt;7500,O12&gt;7500),N12/1.18,N12),(O12-IF(AND(N12&gt;7500,O12&gt;7500),N12/1.18,N12))/(1+IF(O12&lt;=1000,0,IF(O12&lt;=7500,0.05,0.18)))))/(IF(AND(N12&gt;7500,O12&gt;7500),N12/1.18,N12)))</f>
        <v>0.150330456137817</v>
      </c>
      <c r="R12" s="15" t="n">
        <f aca="false">IF(OR(N12="",O12=""),"",((O12-N12)/1.18)/N12)</f>
        <v>0.127398691642217</v>
      </c>
      <c r="S12" s="15" t="n">
        <f aca="false">IF(OR(P12="",O12=""),"",(P12-O12)/O12)</f>
        <v>0.424149961540273</v>
      </c>
      <c r="T12" s="9" t="str">
        <f aca="false">IF(AND(D12="",G12&lt;&gt;""),"no dates - assumed 1 night",IF(Q12="","",IF(Q12&gt;1.5,"check: markup &gt;150%",IF(Q12&lt;0,"below cost",""))))</f>
        <v/>
      </c>
    </row>
    <row r="13" customFormat="false" ht="15" hidden="false" customHeight="false" outlineLevel="0" collapsed="false">
      <c r="A13" s="9" t="s">
        <v>17</v>
      </c>
      <c r="B13" s="9" t="s">
        <v>243</v>
      </c>
      <c r="C13" s="9" t="s">
        <v>50</v>
      </c>
      <c r="D13" s="10" t="s">
        <v>200</v>
      </c>
      <c r="E13" s="10" t="s">
        <v>130</v>
      </c>
      <c r="F13" s="9" t="n">
        <f aca="false">IF(OR(D13="",E13=""),1,MAX(1,DATEVALUE(E13)-DATEVALUE(D13)))</f>
        <v>5</v>
      </c>
      <c r="G13" s="11" t="n">
        <v>199351</v>
      </c>
      <c r="H13" s="11" t="n">
        <v>231269</v>
      </c>
      <c r="I13" s="11"/>
      <c r="J13" s="11"/>
      <c r="K13" s="11"/>
      <c r="L13" s="12" t="n">
        <v>3376.17</v>
      </c>
      <c r="M13" s="13" t="n">
        <v>0.22</v>
      </c>
      <c r="N13" s="14" t="n">
        <f aca="false">IF(G13="","",G13/F13)</f>
        <v>39870.2</v>
      </c>
      <c r="O13" s="14" t="n">
        <f aca="false">IF(COUNT(H13:K13)=0,"",MIN(H13:K13)/F13)</f>
        <v>46253.8</v>
      </c>
      <c r="P13" s="14" t="n">
        <f aca="false">IF(L13="","",L13*95/F13)</f>
        <v>64147.23</v>
      </c>
      <c r="Q13" s="15" t="n">
        <f aca="false">IF(OR(N13="",O13=""),"",(IF(AND(N13&gt;7500,O13&gt;7500),O13/(1+IF(O13&lt;=1000,0,IF(O13&lt;=7500,0.05,0.18)))-IF(AND(N13&gt;7500,O13&gt;7500),N13/1.18,N13),(O13-IF(AND(N13&gt;7500,O13&gt;7500),N13/1.18,N13))/(1+IF(O13&lt;=1000,0,IF(O13&lt;=7500,0.05,0.18)))))/(IF(AND(N13&gt;7500,O13&gt;7500),N13/1.18,N13)))</f>
        <v>0.160109555507622</v>
      </c>
      <c r="R13" s="15" t="n">
        <f aca="false">IF(OR(N13="",O13=""),"",((O13-N13)/1.18)/N13)</f>
        <v>0.135686063989511</v>
      </c>
      <c r="S13" s="15" t="n">
        <f aca="false">IF(OR(P13="",O13=""),"",(P13-O13)/O13)</f>
        <v>0.386853188278585</v>
      </c>
      <c r="T13" s="9" t="str">
        <f aca="false">IF(AND(D13="",G13&lt;&gt;""),"no dates - assumed 1 night",IF(Q13="","",IF(Q13&gt;1.5,"check: markup &gt;150%",IF(Q13&lt;0,"below cost",""))))</f>
        <v/>
      </c>
    </row>
    <row r="14" customFormat="false" ht="15" hidden="false" customHeight="false" outlineLevel="0" collapsed="false">
      <c r="A14" s="9" t="s">
        <v>17</v>
      </c>
      <c r="B14" s="9" t="s">
        <v>244</v>
      </c>
      <c r="C14" s="9" t="s">
        <v>44</v>
      </c>
      <c r="D14" s="10" t="s">
        <v>245</v>
      </c>
      <c r="E14" s="10" t="s">
        <v>91</v>
      </c>
      <c r="F14" s="9" t="n">
        <f aca="false">IF(OR(D14="",E14=""),1,MAX(1,DATEVALUE(E14)-DATEVALUE(D14)))</f>
        <v>3</v>
      </c>
      <c r="G14" s="11" t="n">
        <v>7808</v>
      </c>
      <c r="H14" s="11" t="n">
        <v>7832</v>
      </c>
      <c r="I14" s="11"/>
      <c r="J14" s="11"/>
      <c r="K14" s="11"/>
      <c r="L14" s="12" t="n">
        <v>305.03</v>
      </c>
      <c r="M14" s="13" t="n">
        <v>0.41</v>
      </c>
      <c r="N14" s="14" t="n">
        <f aca="false">IF(G14="","",G14/F14)</f>
        <v>2602.66666666667</v>
      </c>
      <c r="O14" s="14" t="n">
        <f aca="false">IF(COUNT(H14:K14)=0,"",MIN(H14:K14)/F14)</f>
        <v>2610.66666666667</v>
      </c>
      <c r="P14" s="14" t="n">
        <f aca="false">IF(L14="","",L14*95/F14)</f>
        <v>9659.28333333333</v>
      </c>
      <c r="Q14" s="15" t="n">
        <f aca="false">IF(OR(N14="",O14=""),"",(IF(AND(N14&gt;7500,O14&gt;7500),O14/(1+IF(O14&lt;=1000,0,IF(O14&lt;=7500,0.05,0.18)))-IF(AND(N14&gt;7500,O14&gt;7500),N14/1.18,N14),(O14-IF(AND(N14&gt;7500,O14&gt;7500),N14/1.18,N14))/(1+IF(O14&lt;=1000,0,IF(O14&lt;=7500,0.05,0.18)))))/(IF(AND(N14&gt;7500,O14&gt;7500),N14/1.18,N14)))</f>
        <v>0.00292740046838408</v>
      </c>
      <c r="R14" s="15" t="n">
        <f aca="false">IF(OR(N14="",O14=""),"",((O14-N14)/1.18)/N14)</f>
        <v>0.00260489024729091</v>
      </c>
      <c r="S14" s="15" t="n">
        <f aca="false">IF(OR(P14="",O14=""),"",(P14-O14)/O14)</f>
        <v>2.6999297752809</v>
      </c>
      <c r="T14" s="9" t="str">
        <f aca="false">IF(AND(D14="",G14&lt;&gt;""),"no dates - assumed 1 night",IF(Q14="","",IF(Q14&gt;1.5,"check: markup &gt;150%",IF(Q14&lt;0,"below cost",""))))</f>
        <v/>
      </c>
    </row>
    <row r="15" customFormat="false" ht="15" hidden="false" customHeight="false" outlineLevel="0" collapsed="false">
      <c r="A15" s="9" t="s">
        <v>17</v>
      </c>
      <c r="B15" s="9" t="s">
        <v>244</v>
      </c>
      <c r="C15" s="9" t="s">
        <v>50</v>
      </c>
      <c r="D15" s="10" t="s">
        <v>246</v>
      </c>
      <c r="E15" s="10" t="s">
        <v>247</v>
      </c>
      <c r="F15" s="9" t="n">
        <f aca="false">IF(OR(D15="",E15=""),1,MAX(1,DATEVALUE(E15)-DATEVALUE(D15)))</f>
        <v>3</v>
      </c>
      <c r="G15" s="11" t="n">
        <v>23195</v>
      </c>
      <c r="H15" s="11" t="n">
        <v>22860</v>
      </c>
      <c r="I15" s="11"/>
      <c r="J15" s="11"/>
      <c r="K15" s="11"/>
      <c r="L15" s="12" t="n">
        <v>723.31</v>
      </c>
      <c r="M15" s="13" t="n">
        <v>0.32</v>
      </c>
      <c r="N15" s="14" t="n">
        <f aca="false">IF(G15="","",G15/F15)</f>
        <v>7731.66666666667</v>
      </c>
      <c r="O15" s="14" t="n">
        <f aca="false">IF(COUNT(H15:K15)=0,"",MIN(H15:K15)/F15)</f>
        <v>7620</v>
      </c>
      <c r="P15" s="14" t="n">
        <f aca="false">IF(L15="","",L15*95/F15)</f>
        <v>22904.8166666667</v>
      </c>
      <c r="Q15" s="15" t="n">
        <f aca="false">IF(OR(N15="",O15=""),"",(IF(AND(N15&gt;7500,O15&gt;7500),O15/(1+IF(O15&lt;=1000,0,IF(O15&lt;=7500,0.05,0.18)))-IF(AND(N15&gt;7500,O15&gt;7500),N15/1.18,N15),(O15-IF(AND(N15&gt;7500,O15&gt;7500),N15/1.18,N15))/(1+IF(O15&lt;=1000,0,IF(O15&lt;=7500,0.05,0.18)))))/(IF(AND(N15&gt;7500,O15&gt;7500),N15/1.18,N15)))</f>
        <v>-0.0144427678378961</v>
      </c>
      <c r="R15" s="15" t="n">
        <f aca="false">IF(OR(N15="",O15=""),"",((O15-N15)/1.18)/N15)</f>
        <v>-0.0122396337609289</v>
      </c>
      <c r="S15" s="15" t="n">
        <f aca="false">IF(OR(P15="",O15=""),"",(P15-O15)/O15)</f>
        <v>2.00588145231846</v>
      </c>
      <c r="T15" s="9" t="str">
        <f aca="false">IF(AND(D15="",G15&lt;&gt;""),"no dates - assumed 1 night",IF(Q15="","",IF(Q15&gt;1.5,"check: markup &gt;150%",IF(Q15&lt;0,"below cost",""))))</f>
        <v>below cost</v>
      </c>
    </row>
    <row r="16" customFormat="false" ht="15" hidden="false" customHeight="false" outlineLevel="0" collapsed="false">
      <c r="A16" s="9" t="s">
        <v>17</v>
      </c>
      <c r="B16" s="9" t="s">
        <v>248</v>
      </c>
      <c r="C16" s="9" t="s">
        <v>44</v>
      </c>
      <c r="D16" s="10" t="s">
        <v>45</v>
      </c>
      <c r="E16" s="10" t="s">
        <v>46</v>
      </c>
      <c r="F16" s="9" t="n">
        <f aca="false">IF(OR(D16="",E16=""),1,MAX(1,DATEVALUE(E16)-DATEVALUE(D16)))</f>
        <v>3</v>
      </c>
      <c r="G16" s="11" t="n">
        <v>22849</v>
      </c>
      <c r="H16" s="11" t="n">
        <v>25286</v>
      </c>
      <c r="I16" s="11"/>
      <c r="J16" s="11"/>
      <c r="K16" s="11"/>
      <c r="L16" s="12" t="n">
        <v>376.6</v>
      </c>
      <c r="M16" s="13" t="n">
        <v>0.23</v>
      </c>
      <c r="N16" s="14" t="n">
        <f aca="false">IF(G16="","",G16/F16)</f>
        <v>7616.33333333333</v>
      </c>
      <c r="O16" s="14" t="n">
        <f aca="false">IF(COUNT(H16:K16)=0,"",MIN(H16:K16)/F16)</f>
        <v>8428.66666666667</v>
      </c>
      <c r="P16" s="14" t="n">
        <f aca="false">IF(L16="","",L16*95/F16)</f>
        <v>11925.6666666667</v>
      </c>
      <c r="Q16" s="15" t="n">
        <f aca="false">IF(OR(N16="",O16=""),"",(IF(AND(N16&gt;7500,O16&gt;7500),O16/(1+IF(O16&lt;=1000,0,IF(O16&lt;=7500,0.05,0.18)))-IF(AND(N16&gt;7500,O16&gt;7500),N16/1.18,N16),(O16-IF(AND(N16&gt;7500,O16&gt;7500),N16/1.18,N16))/(1+IF(O16&lt;=1000,0,IF(O16&lt;=7500,0.05,0.18)))))/(IF(AND(N16&gt;7500,O16&gt;7500),N16/1.18,N16)))</f>
        <v>0.106656746465928</v>
      </c>
      <c r="R16" s="15" t="n">
        <f aca="false">IF(OR(N16="",O16=""),"",((O16-N16)/1.18)/N16)</f>
        <v>0.0903870732762106</v>
      </c>
      <c r="S16" s="15" t="n">
        <f aca="false">IF(OR(P16="",O16=""),"",(P16-O16)/O16)</f>
        <v>0.414893617021277</v>
      </c>
      <c r="T16" s="9" t="str">
        <f aca="false">IF(AND(D16="",G16&lt;&gt;""),"no dates - assumed 1 night",IF(Q16="","",IF(Q16&gt;1.5,"check: markup &gt;150%",IF(Q16&lt;0,"below cost",""))))</f>
        <v/>
      </c>
    </row>
    <row r="17" customFormat="false" ht="15" hidden="false" customHeight="false" outlineLevel="0" collapsed="false">
      <c r="A17" s="9" t="s">
        <v>17</v>
      </c>
      <c r="B17" s="9" t="s">
        <v>248</v>
      </c>
      <c r="C17" s="9" t="s">
        <v>47</v>
      </c>
      <c r="D17" s="10" t="s">
        <v>249</v>
      </c>
      <c r="E17" s="10" t="s">
        <v>103</v>
      </c>
      <c r="F17" s="9" t="n">
        <f aca="false">IF(OR(D17="",E17=""),1,MAX(1,DATEVALUE(E17)-DATEVALUE(D17)))</f>
        <v>3</v>
      </c>
      <c r="G17" s="11" t="n">
        <v>14690</v>
      </c>
      <c r="H17" s="11" t="n">
        <v>15309</v>
      </c>
      <c r="I17" s="11"/>
      <c r="J17" s="11"/>
      <c r="K17" s="11"/>
      <c r="L17" s="12" t="n">
        <v>221.67</v>
      </c>
      <c r="M17" s="13" t="n">
        <v>0.2</v>
      </c>
      <c r="N17" s="14" t="n">
        <f aca="false">IF(G17="","",G17/F17)</f>
        <v>4896.66666666667</v>
      </c>
      <c r="O17" s="14" t="n">
        <f aca="false">IF(COUNT(H17:K17)=0,"",MIN(H17:K17)/F17)</f>
        <v>5103</v>
      </c>
      <c r="P17" s="14" t="n">
        <f aca="false">IF(L17="","",L17*95/F17)</f>
        <v>7019.55</v>
      </c>
      <c r="Q17" s="15" t="n">
        <f aca="false">IF(OR(N17="",O17=""),"",(IF(AND(N17&gt;7500,O17&gt;7500),O17/(1+IF(O17&lt;=1000,0,IF(O17&lt;=7500,0.05,0.18)))-IF(AND(N17&gt;7500,O17&gt;7500),N17/1.18,N17),(O17-IF(AND(N17&gt;7500,O17&gt;7500),N17/1.18,N17))/(1+IF(O17&lt;=1000,0,IF(O17&lt;=7500,0.05,0.18)))))/(IF(AND(N17&gt;7500,O17&gt;7500),N17/1.18,N17)))</f>
        <v>0.0401309604849427</v>
      </c>
      <c r="R17" s="15" t="n">
        <f aca="false">IF(OR(N17="",O17=""),"",((O17-N17)/1.18)/N17)</f>
        <v>0.0357097529738897</v>
      </c>
      <c r="S17" s="15" t="n">
        <f aca="false">IF(OR(P17="",O17=""),"",(P17-O17)/O17)</f>
        <v>0.375573192239859</v>
      </c>
      <c r="T17" s="9" t="str">
        <f aca="false">IF(AND(D17="",G17&lt;&gt;""),"no dates - assumed 1 night",IF(Q17="","",IF(Q17&gt;1.5,"check: markup &gt;150%",IF(Q17&lt;0,"below cost",""))))</f>
        <v/>
      </c>
    </row>
    <row r="18" customFormat="false" ht="15" hidden="false" customHeight="false" outlineLevel="0" collapsed="false">
      <c r="A18" s="9" t="s">
        <v>17</v>
      </c>
      <c r="B18" s="9" t="s">
        <v>248</v>
      </c>
      <c r="C18" s="9" t="s">
        <v>50</v>
      </c>
      <c r="D18" s="10" t="s">
        <v>48</v>
      </c>
      <c r="E18" s="10" t="s">
        <v>250</v>
      </c>
      <c r="F18" s="9" t="n">
        <f aca="false">IF(OR(D18="",E18=""),1,MAX(1,DATEVALUE(E18)-DATEVALUE(D18)))</f>
        <v>4</v>
      </c>
      <c r="G18" s="11" t="n">
        <v>52161</v>
      </c>
      <c r="H18" s="11" t="n">
        <v>59495</v>
      </c>
      <c r="I18" s="11"/>
      <c r="J18" s="11"/>
      <c r="K18" s="11"/>
      <c r="L18" s="12" t="n">
        <v>700.6</v>
      </c>
      <c r="M18" s="13"/>
      <c r="N18" s="14" t="n">
        <f aca="false">IF(G18="","",G18/F18)</f>
        <v>13040.25</v>
      </c>
      <c r="O18" s="14" t="n">
        <f aca="false">IF(COUNT(H18:K18)=0,"",MIN(H18:K18)/F18)</f>
        <v>14873.75</v>
      </c>
      <c r="P18" s="14" t="n">
        <f aca="false">IF(L18="","",L18*95/F18)</f>
        <v>16639.25</v>
      </c>
      <c r="Q18" s="15" t="n">
        <f aca="false">IF(OR(N18="",O18=""),"",(IF(AND(N18&gt;7500,O18&gt;7500),O18/(1+IF(O18&lt;=1000,0,IF(O18&lt;=7500,0.05,0.18)))-IF(AND(N18&gt;7500,O18&gt;7500),N18/1.18,N18),(O18-IF(AND(N18&gt;7500,O18&gt;7500),N18/1.18,N18))/(1+IF(O18&lt;=1000,0,IF(O18&lt;=7500,0.05,0.18)))))/(IF(AND(N18&gt;7500,O18&gt;7500),N18/1.18,N18)))</f>
        <v>0.140603132608654</v>
      </c>
      <c r="R18" s="15" t="n">
        <f aca="false">IF(OR(N18="",O18=""),"",((O18-N18)/1.18)/N18)</f>
        <v>0.119155197125978</v>
      </c>
      <c r="S18" s="15" t="n">
        <f aca="false">IF(OR(P18="",O18=""),"",(P18-O18)/O18)</f>
        <v>0.118699050340365</v>
      </c>
      <c r="T18" s="9" t="str">
        <f aca="false">IF(AND(D18="",G18&lt;&gt;""),"no dates - assumed 1 night",IF(Q18="","",IF(Q18&gt;1.5,"check: markup &gt;150%",IF(Q18&lt;0,"below cost",""))))</f>
        <v/>
      </c>
    </row>
    <row r="19" customFormat="false" ht="15" hidden="false" customHeight="false" outlineLevel="0" collapsed="false">
      <c r="A19" s="9" t="s">
        <v>17</v>
      </c>
      <c r="B19" s="9" t="s">
        <v>248</v>
      </c>
      <c r="C19" s="9" t="s">
        <v>54</v>
      </c>
      <c r="D19" s="10" t="s">
        <v>200</v>
      </c>
      <c r="E19" s="10" t="s">
        <v>130</v>
      </c>
      <c r="F19" s="9" t="n">
        <f aca="false">IF(OR(D19="",E19=""),1,MAX(1,DATEVALUE(E19)-DATEVALUE(D19)))</f>
        <v>5</v>
      </c>
      <c r="G19" s="11" t="n">
        <v>178462</v>
      </c>
      <c r="H19" s="11" t="n">
        <v>189253</v>
      </c>
      <c r="I19" s="11"/>
      <c r="J19" s="11"/>
      <c r="K19" s="11"/>
      <c r="L19" s="12" t="n">
        <v>2129.88</v>
      </c>
      <c r="M19" s="13" t="n">
        <v>0.12</v>
      </c>
      <c r="N19" s="14" t="n">
        <f aca="false">IF(G19="","",G19/F19)</f>
        <v>35692.4</v>
      </c>
      <c r="O19" s="14" t="n">
        <f aca="false">IF(COUNT(H19:K19)=0,"",MIN(H19:K19)/F19)</f>
        <v>37850.6</v>
      </c>
      <c r="P19" s="14" t="n">
        <f aca="false">IF(L19="","",L19*95/F19)</f>
        <v>40467.72</v>
      </c>
      <c r="Q19" s="15" t="n">
        <f aca="false">IF(OR(N19="",O19=""),"",(IF(AND(N19&gt;7500,O19&gt;7500),O19/(1+IF(O19&lt;=1000,0,IF(O19&lt;=7500,0.05,0.18)))-IF(AND(N19&gt;7500,O19&gt;7500),N19/1.18,N19),(O19-IF(AND(N19&gt;7500,O19&gt;7500),N19/1.18,N19))/(1+IF(O19&lt;=1000,0,IF(O19&lt;=7500,0.05,0.18)))))/(IF(AND(N19&gt;7500,O19&gt;7500),N19/1.18,N19)))</f>
        <v>0.06046665396555</v>
      </c>
      <c r="R19" s="15" t="n">
        <f aca="false">IF(OR(N19="",O19=""),"",((O19-N19)/1.18)/N19)</f>
        <v>0.0512429270894492</v>
      </c>
      <c r="S19" s="15" t="n">
        <f aca="false">IF(OR(P19="",O19=""),"",(P19-O19)/O19)</f>
        <v>0.0691434217687435</v>
      </c>
      <c r="T19" s="9" t="str">
        <f aca="false">IF(AND(D19="",G19&lt;&gt;""),"no dates - assumed 1 night",IF(Q19="","",IF(Q19&gt;1.5,"check: markup &gt;150%",IF(Q19&lt;0,"below cost",""))))</f>
        <v/>
      </c>
    </row>
    <row r="20" customFormat="false" ht="15" hidden="false" customHeight="false" outlineLevel="0" collapsed="false">
      <c r="A20" s="9" t="s">
        <v>17</v>
      </c>
      <c r="B20" s="9" t="s">
        <v>251</v>
      </c>
      <c r="C20" s="9" t="s">
        <v>44</v>
      </c>
      <c r="D20" s="10" t="s">
        <v>45</v>
      </c>
      <c r="E20" s="10" t="s">
        <v>46</v>
      </c>
      <c r="F20" s="9" t="n">
        <f aca="false">IF(OR(D20="",E20=""),1,MAX(1,DATEVALUE(E20)-DATEVALUE(D20)))</f>
        <v>3</v>
      </c>
      <c r="G20" s="11" t="n">
        <v>9420</v>
      </c>
      <c r="H20" s="11" t="n">
        <v>11547</v>
      </c>
      <c r="I20" s="11"/>
      <c r="J20" s="11"/>
      <c r="K20" s="11"/>
      <c r="L20" s="12" t="n">
        <v>239.56</v>
      </c>
      <c r="M20" s="13" t="n">
        <v>0.34</v>
      </c>
      <c r="N20" s="14" t="n">
        <f aca="false">IF(G20="","",G20/F20)</f>
        <v>3140</v>
      </c>
      <c r="O20" s="14" t="n">
        <f aca="false">IF(COUNT(H20:K20)=0,"",MIN(H20:K20)/F20)</f>
        <v>3849</v>
      </c>
      <c r="P20" s="14" t="n">
        <f aca="false">IF(L20="","",L20*95/F20)</f>
        <v>7586.06666666667</v>
      </c>
      <c r="Q20" s="15" t="n">
        <f aca="false">IF(OR(N20="",O20=""),"",(IF(AND(N20&gt;7500,O20&gt;7500),O20/(1+IF(O20&lt;=1000,0,IF(O20&lt;=7500,0.05,0.18)))-IF(AND(N20&gt;7500,O20&gt;7500),N20/1.18,N20),(O20-IF(AND(N20&gt;7500,O20&gt;7500),N20/1.18,N20))/(1+IF(O20&lt;=1000,0,IF(O20&lt;=7500,0.05,0.18)))))/(IF(AND(N20&gt;7500,O20&gt;7500),N20/1.18,N20)))</f>
        <v>0.21504397937519</v>
      </c>
      <c r="R20" s="15" t="n">
        <f aca="false">IF(OR(N20="",O20=""),"",((O20-N20)/1.18)/N20)</f>
        <v>0.191352693511821</v>
      </c>
      <c r="S20" s="15" t="n">
        <f aca="false">IF(OR(P20="",O20=""),"",(P20-O20)/O20)</f>
        <v>0.970918853381831</v>
      </c>
      <c r="T20" s="9" t="str">
        <f aca="false">IF(AND(D20="",G20&lt;&gt;""),"no dates - assumed 1 night",IF(Q20="","",IF(Q20&gt;1.5,"check: markup &gt;150%",IF(Q20&lt;0,"below cost",""))))</f>
        <v/>
      </c>
    </row>
    <row r="21" customFormat="false" ht="15" hidden="false" customHeight="false" outlineLevel="0" collapsed="false">
      <c r="A21" s="9" t="s">
        <v>17</v>
      </c>
      <c r="B21" s="9" t="s">
        <v>251</v>
      </c>
      <c r="C21" s="9" t="s">
        <v>47</v>
      </c>
      <c r="D21" s="10" t="s">
        <v>252</v>
      </c>
      <c r="E21" s="10" t="s">
        <v>253</v>
      </c>
      <c r="F21" s="9" t="n">
        <f aca="false">IF(OR(D21="",E21=""),1,MAX(1,DATEVALUE(E21)-DATEVALUE(D21)))</f>
        <v>5</v>
      </c>
      <c r="G21" s="11" t="n">
        <v>27202</v>
      </c>
      <c r="H21" s="11" t="n">
        <v>33072</v>
      </c>
      <c r="I21" s="11"/>
      <c r="J21" s="11"/>
      <c r="K21" s="11"/>
      <c r="L21" s="12" t="n">
        <v>538.28</v>
      </c>
      <c r="M21" s="13" t="n">
        <v>0.29</v>
      </c>
      <c r="N21" s="14" t="n">
        <f aca="false">IF(G21="","",G21/F21)</f>
        <v>5440.4</v>
      </c>
      <c r="O21" s="14" t="n">
        <f aca="false">IF(COUNT(H21:K21)=0,"",MIN(H21:K21)/F21)</f>
        <v>6614.4</v>
      </c>
      <c r="P21" s="14" t="n">
        <f aca="false">IF(L21="","",L21*95/F21)</f>
        <v>10227.32</v>
      </c>
      <c r="Q21" s="15" t="n">
        <f aca="false">IF(OR(N21="",O21=""),"",(IF(AND(N21&gt;7500,O21&gt;7500),O21/(1+IF(O21&lt;=1000,0,IF(O21&lt;=7500,0.05,0.18)))-IF(AND(N21&gt;7500,O21&gt;7500),N21/1.18,N21),(O21-IF(AND(N21&gt;7500,O21&gt;7500),N21/1.18,N21))/(1+IF(O21&lt;=1000,0,IF(O21&lt;=7500,0.05,0.18)))))/(IF(AND(N21&gt;7500,O21&gt;7500),N21/1.18,N21)))</f>
        <v>0.205517101333585</v>
      </c>
      <c r="R21" s="15" t="n">
        <f aca="false">IF(OR(N21="",O21=""),"",((O21-N21)/1.18)/N21)</f>
        <v>0.182875386779885</v>
      </c>
      <c r="S21" s="15" t="n">
        <f aca="false">IF(OR(P21="",O21=""),"",(P21-O21)/O21)</f>
        <v>0.546220367682632</v>
      </c>
      <c r="T21" s="9" t="str">
        <f aca="false">IF(AND(D21="",G21&lt;&gt;""),"no dates - assumed 1 night",IF(Q21="","",IF(Q21&gt;1.5,"check: markup &gt;150%",IF(Q21&lt;0,"below cost",""))))</f>
        <v/>
      </c>
    </row>
    <row r="22" customFormat="false" ht="15" hidden="false" customHeight="false" outlineLevel="0" collapsed="false">
      <c r="A22" s="9" t="s">
        <v>17</v>
      </c>
      <c r="B22" s="9" t="s">
        <v>251</v>
      </c>
      <c r="C22" s="9" t="s">
        <v>50</v>
      </c>
      <c r="D22" s="10" t="s">
        <v>239</v>
      </c>
      <c r="E22" s="10" t="s">
        <v>250</v>
      </c>
      <c r="F22" s="9" t="n">
        <f aca="false">IF(OR(D22="",E22=""),1,MAX(1,DATEVALUE(E22)-DATEVALUE(D22)))</f>
        <v>3</v>
      </c>
      <c r="G22" s="11" t="n">
        <v>38079</v>
      </c>
      <c r="H22" s="11" t="n">
        <v>41841</v>
      </c>
      <c r="I22" s="11"/>
      <c r="J22" s="11"/>
      <c r="K22" s="11"/>
      <c r="L22" s="12" t="n">
        <v>660.39</v>
      </c>
      <c r="M22" s="13" t="n">
        <v>0.28</v>
      </c>
      <c r="N22" s="14" t="n">
        <f aca="false">IF(G22="","",G22/F22)</f>
        <v>12693</v>
      </c>
      <c r="O22" s="14" t="n">
        <f aca="false">IF(COUNT(H22:K22)=0,"",MIN(H22:K22)/F22)</f>
        <v>13947</v>
      </c>
      <c r="P22" s="14" t="n">
        <f aca="false">IF(L22="","",L22*95/F22)</f>
        <v>20912.35</v>
      </c>
      <c r="Q22" s="15" t="n">
        <f aca="false">IF(OR(N22="",O22=""),"",(IF(AND(N22&gt;7500,O22&gt;7500),O22/(1+IF(O22&lt;=1000,0,IF(O22&lt;=7500,0.05,0.18)))-IF(AND(N22&gt;7500,O22&gt;7500),N22/1.18,N22),(O22-IF(AND(N22&gt;7500,O22&gt;7500),N22/1.18,N22))/(1+IF(O22&lt;=1000,0,IF(O22&lt;=7500,0.05,0.18)))))/(IF(AND(N22&gt;7500,O22&gt;7500),N22/1.18,N22)))</f>
        <v>0.0987946112030253</v>
      </c>
      <c r="R22" s="15" t="n">
        <f aca="false">IF(OR(N22="",O22=""),"",((O22-N22)/1.18)/N22)</f>
        <v>0.0837242467822248</v>
      </c>
      <c r="S22" s="15" t="n">
        <f aca="false">IF(OR(P22="",O22=""),"",(P22-O22)/O22)</f>
        <v>0.499415644941564</v>
      </c>
      <c r="T22" s="9" t="str">
        <f aca="false">IF(AND(D22="",G22&lt;&gt;""),"no dates - assumed 1 night",IF(Q22="","",IF(Q22&gt;1.5,"check: markup &gt;150%",IF(Q22&lt;0,"below cost",""))))</f>
        <v/>
      </c>
    </row>
    <row r="23" customFormat="false" ht="15" hidden="false" customHeight="false" outlineLevel="0" collapsed="false">
      <c r="A23" s="9" t="s">
        <v>17</v>
      </c>
      <c r="B23" s="9" t="s">
        <v>251</v>
      </c>
      <c r="C23" s="9" t="s">
        <v>54</v>
      </c>
      <c r="D23" s="10" t="s">
        <v>200</v>
      </c>
      <c r="E23" s="10" t="s">
        <v>130</v>
      </c>
      <c r="F23" s="9" t="n">
        <f aca="false">IF(OR(D23="",E23=""),1,MAX(1,DATEVALUE(E23)-DATEVALUE(D23)))</f>
        <v>5</v>
      </c>
      <c r="G23" s="11" t="n">
        <v>72581</v>
      </c>
      <c r="H23" s="11" t="n">
        <v>96589</v>
      </c>
      <c r="I23" s="11"/>
      <c r="J23" s="11"/>
      <c r="K23" s="11"/>
      <c r="L23" s="12" t="n">
        <v>1240.66</v>
      </c>
      <c r="M23" s="13" t="n">
        <v>0.19</v>
      </c>
      <c r="N23" s="14" t="n">
        <f aca="false">IF(G23="","",G23/F23)</f>
        <v>14516.2</v>
      </c>
      <c r="O23" s="14" t="n">
        <f aca="false">IF(COUNT(H23:K23)=0,"",MIN(H23:K23)/F23)</f>
        <v>19317.8</v>
      </c>
      <c r="P23" s="14" t="n">
        <f aca="false">IF(L23="","",L23*95/F23)</f>
        <v>23572.54</v>
      </c>
      <c r="Q23" s="15" t="n">
        <f aca="false">IF(OR(N23="",O23=""),"",(IF(AND(N23&gt;7500,O23&gt;7500),O23/(1+IF(O23&lt;=1000,0,IF(O23&lt;=7500,0.05,0.18)))-IF(AND(N23&gt;7500,O23&gt;7500),N23/1.18,N23),(O23-IF(AND(N23&gt;7500,O23&gt;7500),N23/1.18,N23))/(1+IF(O23&lt;=1000,0,IF(O23&lt;=7500,0.05,0.18)))))/(IF(AND(N23&gt;7500,O23&gt;7500),N23/1.18,N23)))</f>
        <v>0.330775271765338</v>
      </c>
      <c r="R23" s="15" t="n">
        <f aca="false">IF(OR(N23="",O23=""),"",((O23-N23)/1.18)/N23)</f>
        <v>0.280318026919778</v>
      </c>
      <c r="S23" s="15" t="n">
        <f aca="false">IF(OR(P23="",O23=""),"",(P23-O23)/O23)</f>
        <v>0.220249717876777</v>
      </c>
      <c r="T23" s="9" t="str">
        <f aca="false">IF(AND(D23="",G23&lt;&gt;""),"no dates - assumed 1 night",IF(Q23="","",IF(Q23&gt;1.5,"check: markup &gt;150%",IF(Q23&lt;0,"below cost",""))))</f>
        <v/>
      </c>
    </row>
    <row r="24" customFormat="false" ht="15" hidden="false" customHeight="false" outlineLevel="0" collapsed="false">
      <c r="A24" s="9" t="s">
        <v>17</v>
      </c>
      <c r="B24" s="9" t="s">
        <v>254</v>
      </c>
      <c r="C24" s="9" t="s">
        <v>44</v>
      </c>
      <c r="D24" s="10" t="s">
        <v>45</v>
      </c>
      <c r="E24" s="10" t="s">
        <v>46</v>
      </c>
      <c r="F24" s="9" t="n">
        <f aca="false">IF(OR(D24="",E24=""),1,MAX(1,DATEVALUE(E24)-DATEVALUE(D24)))</f>
        <v>3</v>
      </c>
      <c r="G24" s="11" t="n">
        <v>13127</v>
      </c>
      <c r="H24" s="11" t="n">
        <v>17870</v>
      </c>
      <c r="I24" s="11"/>
      <c r="J24" s="11"/>
      <c r="K24" s="11"/>
      <c r="L24" s="12" t="n">
        <v>206.78</v>
      </c>
      <c r="M24" s="13" t="n">
        <v>0.22</v>
      </c>
      <c r="N24" s="14" t="n">
        <f aca="false">IF(G24="","",G24/F24)</f>
        <v>4375.66666666667</v>
      </c>
      <c r="O24" s="14" t="n">
        <f aca="false">IF(COUNT(H24:K24)=0,"",MIN(H24:K24)/F24)</f>
        <v>5956.66666666667</v>
      </c>
      <c r="P24" s="14" t="n">
        <f aca="false">IF(L24="","",L24*95/F24)</f>
        <v>6548.03333333333</v>
      </c>
      <c r="Q24" s="15" t="n">
        <f aca="false">IF(OR(N24="",O24=""),"",(IF(AND(N24&gt;7500,O24&gt;7500),O24/(1+IF(O24&lt;=1000,0,IF(O24&lt;=7500,0.05,0.18)))-IF(AND(N24&gt;7500,O24&gt;7500),N24/1.18,N24),(O24-IF(AND(N24&gt;7500,O24&gt;7500),N24/1.18,N24))/(1+IF(O24&lt;=1000,0,IF(O24&lt;=7500,0.05,0.18)))))/(IF(AND(N24&gt;7500,O24&gt;7500),N24/1.18,N24)))</f>
        <v>0.344110829370218</v>
      </c>
      <c r="R24" s="15" t="n">
        <f aca="false">IF(OR(N24="",O24=""),"",((O24-N24)/1.18)/N24)</f>
        <v>0.30620031427011</v>
      </c>
      <c r="S24" s="15" t="n">
        <f aca="false">IF(OR(P24="",O24=""),"",(P24-O24)/O24)</f>
        <v>0.0992781197537772</v>
      </c>
      <c r="T24" s="9" t="str">
        <f aca="false">IF(AND(D24="",G24&lt;&gt;""),"no dates - assumed 1 night",IF(Q24="","",IF(Q24&gt;1.5,"check: markup &gt;150%",IF(Q24&lt;0,"below cost",""))))</f>
        <v/>
      </c>
    </row>
    <row r="25" customFormat="false" ht="15" hidden="false" customHeight="false" outlineLevel="0" collapsed="false">
      <c r="A25" s="9" t="s">
        <v>17</v>
      </c>
      <c r="B25" s="9" t="s">
        <v>254</v>
      </c>
      <c r="C25" s="9" t="s">
        <v>47</v>
      </c>
      <c r="D25" s="10" t="s">
        <v>239</v>
      </c>
      <c r="E25" s="10" t="s">
        <v>240</v>
      </c>
      <c r="F25" s="9" t="n">
        <f aca="false">IF(OR(D25="",E25=""),1,MAX(1,DATEVALUE(E25)-DATEVALUE(D25)))</f>
        <v>5</v>
      </c>
      <c r="G25" s="11" t="n">
        <v>58580</v>
      </c>
      <c r="H25" s="11" t="n">
        <v>74366</v>
      </c>
      <c r="I25" s="11"/>
      <c r="J25" s="11"/>
      <c r="K25" s="11"/>
      <c r="L25" s="12" t="n">
        <v>767.97</v>
      </c>
      <c r="M25" s="13"/>
      <c r="N25" s="14" t="n">
        <f aca="false">IF(G25="","",G25/F25)</f>
        <v>11716</v>
      </c>
      <c r="O25" s="14" t="n">
        <f aca="false">IF(COUNT(H25:K25)=0,"",MIN(H25:K25)/F25)</f>
        <v>14873.2</v>
      </c>
      <c r="P25" s="14" t="n">
        <f aca="false">IF(L25="","",L25*95/F25)</f>
        <v>14591.43</v>
      </c>
      <c r="Q25" s="15" t="n">
        <f aca="false">IF(OR(N25="",O25=""),"",(IF(AND(N25&gt;7500,O25&gt;7500),O25/(1+IF(O25&lt;=1000,0,IF(O25&lt;=7500,0.05,0.18)))-IF(AND(N25&gt;7500,O25&gt;7500),N25/1.18,N25),(O25-IF(AND(N25&gt;7500,O25&gt;7500),N25/1.18,N25))/(1+IF(O25&lt;=1000,0,IF(O25&lt;=7500,0.05,0.18)))))/(IF(AND(N25&gt;7500,O25&gt;7500),N25/1.18,N25)))</f>
        <v>0.269477637418914</v>
      </c>
      <c r="R25" s="15" t="n">
        <f aca="false">IF(OR(N25="",O25=""),"",((O25-N25)/1.18)/N25)</f>
        <v>0.228370879168572</v>
      </c>
      <c r="S25" s="15" t="n">
        <f aca="false">IF(OR(P25="",O25=""),"",(P25-O25)/O25)</f>
        <v>-0.0189448134900357</v>
      </c>
      <c r="T25" s="9" t="str">
        <f aca="false">IF(AND(D25="",G25&lt;&gt;""),"no dates - assumed 1 night",IF(Q25="","",IF(Q25&gt;1.5,"check: markup &gt;150%",IF(Q25&lt;0,"below cost",""))))</f>
        <v/>
      </c>
    </row>
    <row r="26" customFormat="false" ht="15" hidden="false" customHeight="false" outlineLevel="0" collapsed="false">
      <c r="A26" s="9" t="s">
        <v>17</v>
      </c>
      <c r="B26" s="9" t="s">
        <v>254</v>
      </c>
      <c r="C26" s="9" t="s">
        <v>50</v>
      </c>
      <c r="D26" s="10" t="s">
        <v>200</v>
      </c>
      <c r="E26" s="10" t="s">
        <v>130</v>
      </c>
      <c r="F26" s="9" t="n">
        <f aca="false">IF(OR(D26="",E26=""),1,MAX(1,DATEVALUE(E26)-DATEVALUE(D26)))</f>
        <v>5</v>
      </c>
      <c r="G26" s="11" t="n">
        <v>171522</v>
      </c>
      <c r="H26" s="11" t="n">
        <v>219328</v>
      </c>
      <c r="I26" s="11"/>
      <c r="J26" s="11"/>
      <c r="K26" s="11"/>
      <c r="L26" s="12" t="n">
        <v>2176.84</v>
      </c>
      <c r="M26" s="13" t="n">
        <v>0.12</v>
      </c>
      <c r="N26" s="14" t="n">
        <f aca="false">IF(G26="","",G26/F26)</f>
        <v>34304.4</v>
      </c>
      <c r="O26" s="14" t="n">
        <f aca="false">IF(COUNT(H26:K26)=0,"",MIN(H26:K26)/F26)</f>
        <v>43865.6</v>
      </c>
      <c r="P26" s="14" t="n">
        <f aca="false">IF(L26="","",L26*95/F26)</f>
        <v>41359.96</v>
      </c>
      <c r="Q26" s="15" t="n">
        <f aca="false">IF(OR(N26="",O26=""),"",(IF(AND(N26&gt;7500,O26&gt;7500),O26/(1+IF(O26&lt;=1000,0,IF(O26&lt;=7500,0.05,0.18)))-IF(AND(N26&gt;7500,O26&gt;7500),N26/1.18,N26),(O26-IF(AND(N26&gt;7500,O26&gt;7500),N26/1.18,N26))/(1+IF(O26&lt;=1000,0,IF(O26&lt;=7500,0.05,0.18)))))/(IF(AND(N26&gt;7500,O26&gt;7500),N26/1.18,N26)))</f>
        <v>0.278716432877415</v>
      </c>
      <c r="R26" s="15" t="n">
        <f aca="false">IF(OR(N26="",O26=""),"",((O26-N26)/1.18)/N26)</f>
        <v>0.236200366845267</v>
      </c>
      <c r="S26" s="15" t="n">
        <f aca="false">IF(OR(P26="",O26=""),"",(P26-O26)/O26)</f>
        <v>-0.0571208418441784</v>
      </c>
      <c r="T26" s="9" t="str">
        <f aca="false">IF(AND(D26="",G26&lt;&gt;""),"no dates - assumed 1 night",IF(Q26="","",IF(Q26&gt;1.5,"check: markup &gt;150%",IF(Q26&lt;0,"below cost",""))))</f>
        <v/>
      </c>
    </row>
    <row r="27" customFormat="false" ht="15" hidden="false" customHeight="false" outlineLevel="0" collapsed="false">
      <c r="A27" s="9" t="s">
        <v>17</v>
      </c>
      <c r="B27" s="9" t="s">
        <v>255</v>
      </c>
      <c r="C27" s="9" t="s">
        <v>44</v>
      </c>
      <c r="D27" s="10" t="s">
        <v>45</v>
      </c>
      <c r="E27" s="10" t="s">
        <v>46</v>
      </c>
      <c r="F27" s="9" t="n">
        <f aca="false">IF(OR(D27="",E27=""),1,MAX(1,DATEVALUE(E27)-DATEVALUE(D27)))</f>
        <v>3</v>
      </c>
      <c r="G27" s="11" t="n">
        <v>8375</v>
      </c>
      <c r="H27" s="11" t="n">
        <v>11403</v>
      </c>
      <c r="I27" s="11"/>
      <c r="J27" s="11"/>
      <c r="K27" s="11"/>
      <c r="L27" s="12" t="n">
        <v>146.3</v>
      </c>
      <c r="M27" s="13" t="n">
        <v>0.19</v>
      </c>
      <c r="N27" s="14" t="n">
        <f aca="false">IF(G27="","",G27/F27)</f>
        <v>2791.66666666667</v>
      </c>
      <c r="O27" s="14" t="n">
        <f aca="false">IF(COUNT(H27:K27)=0,"",MIN(H27:K27)/F27)</f>
        <v>3801</v>
      </c>
      <c r="P27" s="14" t="n">
        <f aca="false">IF(L27="","",L27*95/F27)</f>
        <v>4632.83333333333</v>
      </c>
      <c r="Q27" s="15" t="n">
        <f aca="false">IF(OR(N27="",O27=""),"",(IF(AND(N27&gt;7500,O27&gt;7500),O27/(1+IF(O27&lt;=1000,0,IF(O27&lt;=7500,0.05,0.18)))-IF(AND(N27&gt;7500,O27&gt;7500),N27/1.18,N27),(O27-IF(AND(N27&gt;7500,O27&gt;7500),N27/1.18,N27))/(1+IF(O27&lt;=1000,0,IF(O27&lt;=7500,0.05,0.18)))))/(IF(AND(N27&gt;7500,O27&gt;7500),N27/1.18,N27)))</f>
        <v>0.344335465529495</v>
      </c>
      <c r="R27" s="15" t="n">
        <f aca="false">IF(OR(N27="",O27=""),"",((O27-N27)/1.18)/N27)</f>
        <v>0.306400202377941</v>
      </c>
      <c r="S27" s="15" t="n">
        <f aca="false">IF(OR(P27="",O27=""),"",(P27-O27)/O27)</f>
        <v>0.218845917740946</v>
      </c>
      <c r="T27" s="9" t="str">
        <f aca="false">IF(AND(D27="",G27&lt;&gt;""),"no dates - assumed 1 night",IF(Q27="","",IF(Q27&gt;1.5,"check: markup &gt;150%",IF(Q27&lt;0,"below cost",""))))</f>
        <v/>
      </c>
    </row>
    <row r="28" customFormat="false" ht="15" hidden="false" customHeight="false" outlineLevel="0" collapsed="false">
      <c r="A28" s="9" t="s">
        <v>17</v>
      </c>
      <c r="B28" s="9" t="s">
        <v>255</v>
      </c>
      <c r="C28" s="9" t="s">
        <v>47</v>
      </c>
      <c r="D28" s="10" t="s">
        <v>249</v>
      </c>
      <c r="E28" s="10" t="s">
        <v>103</v>
      </c>
      <c r="F28" s="9" t="n">
        <f aca="false">IF(OR(D28="",E28=""),1,MAX(1,DATEVALUE(E28)-DATEVALUE(D28)))</f>
        <v>3</v>
      </c>
      <c r="G28" s="11" t="n">
        <v>8620</v>
      </c>
      <c r="H28" s="11" t="n">
        <v>10056</v>
      </c>
      <c r="I28" s="11"/>
      <c r="J28" s="11"/>
      <c r="K28" s="11"/>
      <c r="L28" s="12" t="n">
        <v>136.09</v>
      </c>
      <c r="M28" s="13" t="n">
        <v>0.2</v>
      </c>
      <c r="N28" s="14" t="n">
        <f aca="false">IF(G28="","",G28/F28)</f>
        <v>2873.33333333333</v>
      </c>
      <c r="O28" s="14" t="n">
        <f aca="false">IF(COUNT(H28:K28)=0,"",MIN(H28:K28)/F28)</f>
        <v>3352</v>
      </c>
      <c r="P28" s="14" t="n">
        <f aca="false">IF(L28="","",L28*95/F28)</f>
        <v>4309.51666666667</v>
      </c>
      <c r="Q28" s="15" t="n">
        <f aca="false">IF(OR(N28="",O28=""),"",(IF(AND(N28&gt;7500,O28&gt;7500),O28/(1+IF(O28&lt;=1000,0,IF(O28&lt;=7500,0.05,0.18)))-IF(AND(N28&gt;7500,O28&gt;7500),N28/1.18,N28),(O28-IF(AND(N28&gt;7500,O28&gt;7500),N28/1.18,N28))/(1+IF(O28&lt;=1000,0,IF(O28&lt;=7500,0.05,0.18)))))/(IF(AND(N28&gt;7500,O28&gt;7500),N28/1.18,N28)))</f>
        <v>0.158656502043973</v>
      </c>
      <c r="R28" s="15" t="n">
        <f aca="false">IF(OR(N28="",O28=""),"",((O28-N28)/1.18)/N28)</f>
        <v>0.141177395886586</v>
      </c>
      <c r="S28" s="15" t="n">
        <f aca="false">IF(OR(P28="",O28=""),"",(P28-O28)/O28)</f>
        <v>0.285655330151154</v>
      </c>
      <c r="T28" s="9" t="str">
        <f aca="false">IF(AND(D28="",G28&lt;&gt;""),"no dates - assumed 1 night",IF(Q28="","",IF(Q28&gt;1.5,"check: markup &gt;150%",IF(Q28&lt;0,"below cost",""))))</f>
        <v/>
      </c>
    </row>
    <row r="29" customFormat="false" ht="15" hidden="false" customHeight="false" outlineLevel="0" collapsed="false">
      <c r="A29" s="9" t="s">
        <v>17</v>
      </c>
      <c r="B29" s="9" t="s">
        <v>255</v>
      </c>
      <c r="C29" s="9" t="s">
        <v>50</v>
      </c>
      <c r="D29" s="10" t="s">
        <v>246</v>
      </c>
      <c r="E29" s="10" t="s">
        <v>49</v>
      </c>
      <c r="F29" s="9" t="n">
        <f aca="false">IF(OR(D29="",E29=""),1,MAX(1,DATEVALUE(E29)-DATEVALUE(D29)))</f>
        <v>4</v>
      </c>
      <c r="G29" s="11" t="n">
        <v>42910</v>
      </c>
      <c r="H29" s="11" t="n">
        <v>46688</v>
      </c>
      <c r="I29" s="11"/>
      <c r="J29" s="11"/>
      <c r="K29" s="11"/>
      <c r="L29" s="12" t="n">
        <v>633.12</v>
      </c>
      <c r="M29" s="13" t="n">
        <v>0.16</v>
      </c>
      <c r="N29" s="14" t="n">
        <f aca="false">IF(G29="","",G29/F29)</f>
        <v>10727.5</v>
      </c>
      <c r="O29" s="14" t="n">
        <f aca="false">IF(COUNT(H29:K29)=0,"",MIN(H29:K29)/F29)</f>
        <v>11672</v>
      </c>
      <c r="P29" s="14" t="n">
        <f aca="false">IF(L29="","",L29*95/F29)</f>
        <v>15036.6</v>
      </c>
      <c r="Q29" s="15" t="n">
        <f aca="false">IF(OR(N29="",O29=""),"",(IF(AND(N29&gt;7500,O29&gt;7500),O29/(1+IF(O29&lt;=1000,0,IF(O29&lt;=7500,0.05,0.18)))-IF(AND(N29&gt;7500,O29&gt;7500),N29/1.18,N29),(O29-IF(AND(N29&gt;7500,O29&gt;7500),N29/1.18,N29))/(1+IF(O29&lt;=1000,0,IF(O29&lt;=7500,0.05,0.18)))))/(IF(AND(N29&gt;7500,O29&gt;7500),N29/1.18,N29)))</f>
        <v>0.0880447448147285</v>
      </c>
      <c r="R29" s="15" t="n">
        <f aca="false">IF(OR(N29="",O29=""),"",((O29-N29)/1.18)/N29)</f>
        <v>0.0746141905209564</v>
      </c>
      <c r="S29" s="15" t="n">
        <f aca="false">IF(OR(P29="",O29=""),"",(P29-O29)/O29)</f>
        <v>0.288262508567512</v>
      </c>
      <c r="T29" s="9" t="str">
        <f aca="false">IF(AND(D29="",G29&lt;&gt;""),"no dates - assumed 1 night",IF(Q29="","",IF(Q29&gt;1.5,"check: markup &gt;150%",IF(Q29&lt;0,"below cost",""))))</f>
        <v/>
      </c>
    </row>
    <row r="30" customFormat="false" ht="15" hidden="false" customHeight="false" outlineLevel="0" collapsed="false">
      <c r="A30" s="9" t="s">
        <v>17</v>
      </c>
      <c r="B30" s="9" t="s">
        <v>255</v>
      </c>
      <c r="C30" s="9" t="s">
        <v>54</v>
      </c>
      <c r="D30" s="10" t="s">
        <v>200</v>
      </c>
      <c r="E30" s="10" t="s">
        <v>130</v>
      </c>
      <c r="F30" s="9" t="n">
        <f aca="false">IF(OR(D30="",E30=""),1,MAX(1,DATEVALUE(E30)-DATEVALUE(D30)))</f>
        <v>5</v>
      </c>
      <c r="G30" s="11" t="n">
        <v>75980</v>
      </c>
      <c r="H30" s="11" t="n">
        <v>72401</v>
      </c>
      <c r="I30" s="11"/>
      <c r="J30" s="11"/>
      <c r="K30" s="11"/>
      <c r="L30" s="12" t="n">
        <v>1066.13</v>
      </c>
      <c r="M30" s="13" t="n">
        <v>0.16</v>
      </c>
      <c r="N30" s="14" t="n">
        <f aca="false">IF(G30="","",G30/F30)</f>
        <v>15196</v>
      </c>
      <c r="O30" s="14" t="n">
        <f aca="false">IF(COUNT(H30:K30)=0,"",MIN(H30:K30)/F30)</f>
        <v>14480.2</v>
      </c>
      <c r="P30" s="14" t="n">
        <f aca="false">IF(L30="","",L30*95/F30)</f>
        <v>20256.47</v>
      </c>
      <c r="Q30" s="15" t="n">
        <f aca="false">IF(OR(N30="",O30=""),"",(IF(AND(N30&gt;7500,O30&gt;7500),O30/(1+IF(O30&lt;=1000,0,IF(O30&lt;=7500,0.05,0.18)))-IF(AND(N30&gt;7500,O30&gt;7500),N30/1.18,N30),(O30-IF(AND(N30&gt;7500,O30&gt;7500),N30/1.18,N30))/(1+IF(O30&lt;=1000,0,IF(O30&lt;=7500,0.05,0.18)))))/(IF(AND(N30&gt;7500,O30&gt;7500),N30/1.18,N30)))</f>
        <v>-0.0471045011845222</v>
      </c>
      <c r="R30" s="15" t="n">
        <f aca="false">IF(OR(N30="",O30=""),"",((O30-N30)/1.18)/N30)</f>
        <v>-0.0399190688004425</v>
      </c>
      <c r="S30" s="15" t="n">
        <f aca="false">IF(OR(P30="",O30=""),"",(P30-O30)/O30)</f>
        <v>0.398908164251875</v>
      </c>
      <c r="T30" s="9" t="str">
        <f aca="false">IF(AND(D30="",G30&lt;&gt;""),"no dates - assumed 1 night",IF(Q30="","",IF(Q30&gt;1.5,"check: markup &gt;150%",IF(Q30&lt;0,"below cost",""))))</f>
        <v>below cost</v>
      </c>
    </row>
    <row r="31" customFormat="false" ht="15" hidden="false" customHeight="false" outlineLevel="0" collapsed="false">
      <c r="A31" s="9" t="s">
        <v>17</v>
      </c>
      <c r="B31" s="9" t="s">
        <v>256</v>
      </c>
      <c r="C31" s="9" t="s">
        <v>44</v>
      </c>
      <c r="D31" s="10" t="s">
        <v>45</v>
      </c>
      <c r="E31" s="10" t="s">
        <v>46</v>
      </c>
      <c r="F31" s="9" t="n">
        <f aca="false">IF(OR(D31="",E31=""),1,MAX(1,DATEVALUE(E31)-DATEVALUE(D31)))</f>
        <v>3</v>
      </c>
      <c r="G31" s="11" t="n">
        <v>23482</v>
      </c>
      <c r="H31" s="11" t="n">
        <v>33721</v>
      </c>
      <c r="I31" s="11"/>
      <c r="J31" s="11"/>
      <c r="K31" s="11"/>
      <c r="L31" s="12" t="n">
        <v>310.25</v>
      </c>
      <c r="M31" s="13" t="n">
        <v>0.14</v>
      </c>
      <c r="N31" s="14" t="n">
        <f aca="false">IF(G31="","",G31/F31)</f>
        <v>7827.33333333333</v>
      </c>
      <c r="O31" s="14" t="n">
        <f aca="false">IF(COUNT(H31:K31)=0,"",MIN(H31:K31)/F31)</f>
        <v>11240.3333333333</v>
      </c>
      <c r="P31" s="14" t="n">
        <f aca="false">IF(L31="","",L31*95/F31)</f>
        <v>9824.58333333333</v>
      </c>
      <c r="Q31" s="15" t="n">
        <f aca="false">IF(OR(N31="",O31=""),"",(IF(AND(N31&gt;7500,O31&gt;7500),O31/(1+IF(O31&lt;=1000,0,IF(O31&lt;=7500,0.05,0.18)))-IF(AND(N31&gt;7500,O31&gt;7500),N31/1.18,N31),(O31-IF(AND(N31&gt;7500,O31&gt;7500),N31/1.18,N31))/(1+IF(O31&lt;=1000,0,IF(O31&lt;=7500,0.05,0.18)))))/(IF(AND(N31&gt;7500,O31&gt;7500),N31/1.18,N31)))</f>
        <v>0.436036112767226</v>
      </c>
      <c r="R31" s="15" t="n">
        <f aca="false">IF(OR(N31="",O31=""),"",((O31-N31)/1.18)/N31)</f>
        <v>0.369522129463751</v>
      </c>
      <c r="S31" s="15" t="n">
        <f aca="false">IF(OR(P31="",O31=""),"",(P31-O31)/O31)</f>
        <v>-0.125952670442751</v>
      </c>
      <c r="T31" s="9" t="str">
        <f aca="false">IF(AND(D31="",G31&lt;&gt;""),"no dates - assumed 1 night",IF(Q31="","",IF(Q31&gt;1.5,"check: markup &gt;150%",IF(Q31&lt;0,"below cost",""))))</f>
        <v/>
      </c>
    </row>
    <row r="32" customFormat="false" ht="15" hidden="false" customHeight="false" outlineLevel="0" collapsed="false">
      <c r="A32" s="9" t="s">
        <v>17</v>
      </c>
      <c r="B32" s="9" t="s">
        <v>256</v>
      </c>
      <c r="C32" s="9" t="s">
        <v>47</v>
      </c>
      <c r="D32" s="10" t="s">
        <v>257</v>
      </c>
      <c r="E32" s="10" t="s">
        <v>258</v>
      </c>
      <c r="F32" s="9" t="n">
        <f aca="false">IF(OR(D32="",E32=""),1,MAX(1,DATEVALUE(E32)-DATEVALUE(D32)))</f>
        <v>4</v>
      </c>
      <c r="G32" s="11" t="n">
        <v>59992</v>
      </c>
      <c r="H32" s="11" t="n">
        <v>69633</v>
      </c>
      <c r="I32" s="11"/>
      <c r="J32" s="11"/>
      <c r="K32" s="11"/>
      <c r="L32" s="12" t="n">
        <v>768.57</v>
      </c>
      <c r="M32" s="13" t="n">
        <v>0.12</v>
      </c>
      <c r="N32" s="14" t="n">
        <f aca="false">IF(G32="","",G32/F32)</f>
        <v>14998</v>
      </c>
      <c r="O32" s="14" t="n">
        <f aca="false">IF(COUNT(H32:K32)=0,"",MIN(H32:K32)/F32)</f>
        <v>17408.25</v>
      </c>
      <c r="P32" s="14" t="n">
        <f aca="false">IF(L32="","",L32*95/F32)</f>
        <v>18253.5375</v>
      </c>
      <c r="Q32" s="15" t="n">
        <f aca="false">IF(OR(N32="",O32=""),"",(IF(AND(N32&gt;7500,O32&gt;7500),O32/(1+IF(O32&lt;=1000,0,IF(O32&lt;=7500,0.05,0.18)))-IF(AND(N32&gt;7500,O32&gt;7500),N32/1.18,N32),(O32-IF(AND(N32&gt;7500,O32&gt;7500),N32/1.18,N32))/(1+IF(O32&lt;=1000,0,IF(O32&lt;=7500,0.05,0.18)))))/(IF(AND(N32&gt;7500,O32&gt;7500),N32/1.18,N32)))</f>
        <v>0.160704760634751</v>
      </c>
      <c r="R32" s="15" t="n">
        <f aca="false">IF(OR(N32="",O32=""),"",((O32-N32)/1.18)/N32)</f>
        <v>0.136190475114196</v>
      </c>
      <c r="S32" s="15" t="n">
        <f aca="false">IF(OR(P32="",O32=""),"",(P32-O32)/O32)</f>
        <v>0.0485567187971222</v>
      </c>
      <c r="T32" s="9" t="str">
        <f aca="false">IF(AND(D32="",G32&lt;&gt;""),"no dates - assumed 1 night",IF(Q32="","",IF(Q32&gt;1.5,"check: markup &gt;150%",IF(Q32&lt;0,"below cost",""))))</f>
        <v/>
      </c>
    </row>
    <row r="33" customFormat="false" ht="15" hidden="false" customHeight="false" outlineLevel="0" collapsed="false">
      <c r="A33" s="9" t="s">
        <v>17</v>
      </c>
      <c r="B33" s="9" t="s">
        <v>256</v>
      </c>
      <c r="C33" s="9" t="s">
        <v>50</v>
      </c>
      <c r="D33" s="10" t="s">
        <v>239</v>
      </c>
      <c r="E33" s="10" t="s">
        <v>240</v>
      </c>
      <c r="F33" s="9" t="n">
        <f aca="false">IF(OR(D33="",E33=""),1,MAX(1,DATEVALUE(E33)-DATEVALUE(D33)))</f>
        <v>5</v>
      </c>
      <c r="G33" s="11" t="n">
        <v>86057</v>
      </c>
      <c r="H33" s="11" t="n">
        <v>99532</v>
      </c>
      <c r="I33" s="11"/>
      <c r="J33" s="11"/>
      <c r="K33" s="11"/>
      <c r="L33" s="12" t="n">
        <v>1099.69</v>
      </c>
      <c r="M33" s="13" t="n">
        <v>0.14</v>
      </c>
      <c r="N33" s="14" t="n">
        <f aca="false">IF(G33="","",G33/F33)</f>
        <v>17211.4</v>
      </c>
      <c r="O33" s="14" t="n">
        <f aca="false">IF(COUNT(H33:K33)=0,"",MIN(H33:K33)/F33)</f>
        <v>19906.4</v>
      </c>
      <c r="P33" s="14" t="n">
        <f aca="false">IF(L33="","",L33*95/F33)</f>
        <v>20894.11</v>
      </c>
      <c r="Q33" s="15" t="n">
        <f aca="false">IF(OR(N33="",O33=""),"",(IF(AND(N33&gt;7500,O33&gt;7500),O33/(1+IF(O33&lt;=1000,0,IF(O33&lt;=7500,0.05,0.18)))-IF(AND(N33&gt;7500,O33&gt;7500),N33/1.18,N33),(O33-IF(AND(N33&gt;7500,O33&gt;7500),N33/1.18,N33))/(1+IF(O33&lt;=1000,0,IF(O33&lt;=7500,0.05,0.18)))))/(IF(AND(N33&gt;7500,O33&gt;7500),N33/1.18,N33)))</f>
        <v>0.156582265242804</v>
      </c>
      <c r="R33" s="15" t="n">
        <f aca="false">IF(OR(N33="",O33=""),"",((O33-N33)/1.18)/N33)</f>
        <v>0.132696834951529</v>
      </c>
      <c r="S33" s="15" t="n">
        <f aca="false">IF(OR(P33="",O33=""),"",(P33-O33)/O33)</f>
        <v>0.0496177108869509</v>
      </c>
      <c r="T33" s="9" t="str">
        <f aca="false">IF(AND(D33="",G33&lt;&gt;""),"no dates - assumed 1 night",IF(Q33="","",IF(Q33&gt;1.5,"check: markup &gt;150%",IF(Q33&lt;0,"below cost",""))))</f>
        <v/>
      </c>
    </row>
    <row r="34" customFormat="false" ht="15" hidden="false" customHeight="false" outlineLevel="0" collapsed="false">
      <c r="A34" s="9" t="s">
        <v>17</v>
      </c>
      <c r="B34" s="9" t="s">
        <v>256</v>
      </c>
      <c r="C34" s="9" t="s">
        <v>54</v>
      </c>
      <c r="D34" s="10" t="s">
        <v>200</v>
      </c>
      <c r="E34" s="10" t="s">
        <v>130</v>
      </c>
      <c r="F34" s="9" t="n">
        <f aca="false">IF(OR(D34="",E34=""),1,MAX(1,DATEVALUE(E34)-DATEVALUE(D34)))</f>
        <v>5</v>
      </c>
      <c r="G34" s="11" t="n">
        <v>198934</v>
      </c>
      <c r="H34" s="11" t="n">
        <v>244673</v>
      </c>
      <c r="I34" s="11"/>
      <c r="J34" s="11"/>
      <c r="K34" s="11"/>
      <c r="L34" s="12" t="n">
        <v>2506.64</v>
      </c>
      <c r="M34" s="13" t="n">
        <v>0.14</v>
      </c>
      <c r="N34" s="14" t="n">
        <f aca="false">IF(G34="","",G34/F34)</f>
        <v>39786.8</v>
      </c>
      <c r="O34" s="14" t="n">
        <f aca="false">IF(COUNT(H34:K34)=0,"",MIN(H34:K34)/F34)</f>
        <v>48934.6</v>
      </c>
      <c r="P34" s="14" t="n">
        <f aca="false">IF(L34="","",L34*95/F34)</f>
        <v>47626.16</v>
      </c>
      <c r="Q34" s="15" t="n">
        <f aca="false">IF(OR(N34="",O34=""),"",(IF(AND(N34&gt;7500,O34&gt;7500),O34/(1+IF(O34&lt;=1000,0,IF(O34&lt;=7500,0.05,0.18)))-IF(AND(N34&gt;7500,O34&gt;7500),N34/1.18,N34),(O34-IF(AND(N34&gt;7500,O34&gt;7500),N34/1.18,N34))/(1+IF(O34&lt;=1000,0,IF(O34&lt;=7500,0.05,0.18)))))/(IF(AND(N34&gt;7500,O34&gt;7500),N34/1.18,N34)))</f>
        <v>0.229920476137814</v>
      </c>
      <c r="R34" s="15" t="n">
        <f aca="false">IF(OR(N34="",O34=""),"",((O34-N34)/1.18)/N34)</f>
        <v>0.194847861133741</v>
      </c>
      <c r="S34" s="15" t="n">
        <f aca="false">IF(OR(P34="",O34=""),"",(P34-O34)/O34)</f>
        <v>-0.0267385449150499</v>
      </c>
      <c r="T34" s="9" t="str">
        <f aca="false">IF(AND(D34="",G34&lt;&gt;""),"no dates - assumed 1 night",IF(Q34="","",IF(Q34&gt;1.5,"check: markup &gt;150%",IF(Q34&lt;0,"below cost",""))))</f>
        <v/>
      </c>
    </row>
    <row r="36" customFormat="false" ht="15" hidden="false" customHeight="false" outlineLevel="0" collapsed="false">
      <c r="A36" s="2" t="s">
        <v>86</v>
      </c>
    </row>
  </sheetData>
  <autoFilter ref="A1:T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11" min="7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9" min="17" style="0" width="10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8" t="s">
        <v>2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2" customFormat="false" ht="15" hidden="false" customHeight="false" outlineLevel="0" collapsed="false">
      <c r="A2" s="9" t="s">
        <v>18</v>
      </c>
      <c r="B2" s="9" t="s">
        <v>259</v>
      </c>
      <c r="C2" s="9" t="s">
        <v>44</v>
      </c>
      <c r="D2" s="10" t="s">
        <v>260</v>
      </c>
      <c r="E2" s="10" t="s">
        <v>261</v>
      </c>
      <c r="F2" s="9" t="n">
        <f aca="false">IF(OR(D2="",E2=""),1,MAX(1,DATEVALUE(E2)-DATEVALUE(D2)))</f>
        <v>3</v>
      </c>
      <c r="G2" s="11" t="n">
        <v>39042</v>
      </c>
      <c r="H2" s="11" t="n">
        <v>60153</v>
      </c>
      <c r="I2" s="11"/>
      <c r="J2" s="11"/>
      <c r="K2" s="11"/>
      <c r="L2" s="12" t="n">
        <v>622.86</v>
      </c>
      <c r="M2" s="13" t="n">
        <v>0.29</v>
      </c>
      <c r="N2" s="14" t="n">
        <f aca="false">IF(G2="","",G2/F2)</f>
        <v>13014</v>
      </c>
      <c r="O2" s="14" t="n">
        <f aca="false">IF(COUNT(H2:K2)=0,"",MIN(H2:K2)/F2)</f>
        <v>20051</v>
      </c>
      <c r="P2" s="14" t="n">
        <f aca="false">IF(L2="","",L2*95/F2)</f>
        <v>19723.9</v>
      </c>
      <c r="Q2" s="15" t="n">
        <f aca="false">IF(OR(N2="",O2=""),"",(IF(AND(N2&gt;7500,O2&gt;7500),O2/(1+IF(O2&lt;=1000,0,IF(O2&lt;=7500,0.05,0.18)))-IF(AND(N2&gt;7500,O2&gt;7500),N2/1.18,N2),(O2-IF(AND(N2&gt;7500,O2&gt;7500),N2/1.18,N2))/(1+IF(O2&lt;=1000,0,IF(O2&lt;=7500,0.05,0.18)))))/(IF(AND(N2&gt;7500,O2&gt;7500),N2/1.18,N2)))</f>
        <v>0.54072537267558</v>
      </c>
      <c r="R2" s="15" t="n">
        <f aca="false">IF(OR(N2="",O2=""),"",((O2-N2)/1.18)/N2)</f>
        <v>0.458241841250492</v>
      </c>
      <c r="S2" s="15" t="n">
        <f aca="false">IF(OR(P2="",O2=""),"",(P2-O2)/O2)</f>
        <v>-0.0163134008278888</v>
      </c>
      <c r="T2" s="9" t="str">
        <f aca="false">IF(AND(D2="",G2&lt;&gt;""),"no dates - assumed 1 night",IF(Q2="","",IF(Q2&gt;1.5,"check: markup &gt;150%",IF(Q2&lt;0,"below cost",""))))</f>
        <v/>
      </c>
    </row>
    <row r="3" customFormat="false" ht="15" hidden="false" customHeight="false" outlineLevel="0" collapsed="false">
      <c r="A3" s="9" t="s">
        <v>18</v>
      </c>
      <c r="B3" s="9" t="s">
        <v>259</v>
      </c>
      <c r="C3" s="9" t="s">
        <v>47</v>
      </c>
      <c r="D3" s="10" t="s">
        <v>262</v>
      </c>
      <c r="E3" s="10" t="s">
        <v>263</v>
      </c>
      <c r="F3" s="9" t="n">
        <f aca="false">IF(OR(D3="",E3=""),1,MAX(1,DATEVALUE(E3)-DATEVALUE(D3)))</f>
        <v>3</v>
      </c>
      <c r="G3" s="11" t="n">
        <v>48618</v>
      </c>
      <c r="H3" s="11" t="n">
        <v>59665</v>
      </c>
      <c r="I3" s="11"/>
      <c r="J3" s="11"/>
      <c r="K3" s="11"/>
      <c r="L3" s="12" t="n">
        <v>1063.95</v>
      </c>
      <c r="M3" s="13" t="n">
        <v>0.3</v>
      </c>
      <c r="N3" s="14" t="n">
        <f aca="false">IF(G3="","",G3/F3)</f>
        <v>16206</v>
      </c>
      <c r="O3" s="14" t="n">
        <f aca="false">IF(COUNT(H3:K3)=0,"",MIN(H3:K3)/F3)</f>
        <v>19888.3333333333</v>
      </c>
      <c r="P3" s="14" t="n">
        <f aca="false">IF(L3="","",L3*95/F3)</f>
        <v>33691.75</v>
      </c>
      <c r="Q3" s="15" t="n">
        <f aca="false">IF(OR(N3="",O3=""),"",(IF(AND(N3&gt;7500,O3&gt;7500),O3/(1+IF(O3&lt;=1000,0,IF(O3&lt;=7500,0.05,0.18)))-IF(AND(N3&gt;7500,O3&gt;7500),N3/1.18,N3),(O3-IF(AND(N3&gt;7500,O3&gt;7500),N3/1.18,N3))/(1+IF(O3&lt;=1000,0,IF(O3&lt;=7500,0.05,0.18)))))/(IF(AND(N3&gt;7500,O3&gt;7500),N3/1.18,N3)))</f>
        <v>0.227220371055987</v>
      </c>
      <c r="R3" s="15" t="n">
        <f aca="false">IF(OR(N3="",O3=""),"",((O3-N3)/1.18)/N3)</f>
        <v>0.192559636488125</v>
      </c>
      <c r="S3" s="15" t="n">
        <f aca="false">IF(OR(P3="",O3=""),"",(P3-O3)/O3)</f>
        <v>0.694045923070477</v>
      </c>
      <c r="T3" s="9" t="str">
        <f aca="false">IF(AND(D3="",G3&lt;&gt;""),"no dates - assumed 1 night",IF(Q3="","",IF(Q3&gt;1.5,"check: markup &gt;150%",IF(Q3&lt;0,"below cost",""))))</f>
        <v/>
      </c>
    </row>
    <row r="4" customFormat="false" ht="15" hidden="false" customHeight="false" outlineLevel="0" collapsed="false">
      <c r="A4" s="9" t="s">
        <v>18</v>
      </c>
      <c r="B4" s="9" t="s">
        <v>264</v>
      </c>
      <c r="C4" s="9" t="s">
        <v>44</v>
      </c>
      <c r="D4" s="10" t="s">
        <v>260</v>
      </c>
      <c r="E4" s="10" t="s">
        <v>261</v>
      </c>
      <c r="F4" s="9" t="n">
        <f aca="false">IF(OR(D4="",E4=""),1,MAX(1,DATEVALUE(E4)-DATEVALUE(D4)))</f>
        <v>3</v>
      </c>
      <c r="G4" s="11" t="n">
        <v>13092</v>
      </c>
      <c r="H4" s="11" t="n">
        <v>17222</v>
      </c>
      <c r="I4" s="11"/>
      <c r="J4" s="11"/>
      <c r="K4" s="11"/>
      <c r="L4" s="12" t="n">
        <v>523.24</v>
      </c>
      <c r="M4" s="13" t="n">
        <v>0.43</v>
      </c>
      <c r="N4" s="14" t="n">
        <f aca="false">IF(G4="","",G4/F4)</f>
        <v>4364</v>
      </c>
      <c r="O4" s="14" t="n">
        <f aca="false">IF(COUNT(H4:K4)=0,"",MIN(H4:K4)/F4)</f>
        <v>5740.66666666667</v>
      </c>
      <c r="P4" s="14" t="n">
        <f aca="false">IF(L4="","",L4*95/F4)</f>
        <v>16569.2666666667</v>
      </c>
      <c r="Q4" s="15" t="n">
        <f aca="false">IF(OR(N4="",O4=""),"",(IF(AND(N4&gt;7500,O4&gt;7500),O4/(1+IF(O4&lt;=1000,0,IF(O4&lt;=7500,0.05,0.18)))-IF(AND(N4&gt;7500,O4&gt;7500),N4/1.18,N4),(O4-IF(AND(N4&gt;7500,O4&gt;7500),N4/1.18,N4))/(1+IF(O4&lt;=1000,0,IF(O4&lt;=7500,0.05,0.18)))))/(IF(AND(N4&gt;7500,O4&gt;7500),N4/1.18,N4)))</f>
        <v>0.300437926469091</v>
      </c>
      <c r="R4" s="15" t="n">
        <f aca="false">IF(OR(N4="",O4=""),"",((O4-N4)/1.18)/N4)</f>
        <v>0.267338832875038</v>
      </c>
      <c r="S4" s="15" t="n">
        <f aca="false">IF(OR(P4="",O4=""),"",(P4-O4)/O4)</f>
        <v>1.88629659737545</v>
      </c>
      <c r="T4" s="9" t="str">
        <f aca="false">IF(AND(D4="",G4&lt;&gt;""),"no dates - assumed 1 night",IF(Q4="","",IF(Q4&gt;1.5,"check: markup &gt;150%",IF(Q4&lt;0,"below cost",""))))</f>
        <v/>
      </c>
    </row>
    <row r="5" customFormat="false" ht="15" hidden="false" customHeight="false" outlineLevel="0" collapsed="false">
      <c r="A5" s="9" t="s">
        <v>18</v>
      </c>
      <c r="B5" s="9" t="s">
        <v>264</v>
      </c>
      <c r="C5" s="9" t="s">
        <v>44</v>
      </c>
      <c r="D5" s="10" t="s">
        <v>260</v>
      </c>
      <c r="E5" s="10" t="s">
        <v>261</v>
      </c>
      <c r="F5" s="9" t="n">
        <f aca="false">IF(OR(D5="",E5=""),1,MAX(1,DATEVALUE(E5)-DATEVALUE(D5)))</f>
        <v>3</v>
      </c>
      <c r="G5" s="11" t="n">
        <v>13092</v>
      </c>
      <c r="H5" s="11" t="n">
        <v>17222</v>
      </c>
      <c r="I5" s="11"/>
      <c r="J5" s="11"/>
      <c r="K5" s="11"/>
      <c r="L5" s="12" t="n">
        <v>523.24</v>
      </c>
      <c r="M5" s="13" t="n">
        <v>0.43</v>
      </c>
      <c r="N5" s="14" t="n">
        <f aca="false">IF(G5="","",G5/F5)</f>
        <v>4364</v>
      </c>
      <c r="O5" s="14" t="n">
        <f aca="false">IF(COUNT(H5:K5)=0,"",MIN(H5:K5)/F5)</f>
        <v>5740.66666666667</v>
      </c>
      <c r="P5" s="14" t="n">
        <f aca="false">IF(L5="","",L5*95/F5)</f>
        <v>16569.2666666667</v>
      </c>
      <c r="Q5" s="15" t="n">
        <f aca="false">IF(OR(N5="",O5=""),"",(IF(AND(N5&gt;7500,O5&gt;7500),O5/(1+IF(O5&lt;=1000,0,IF(O5&lt;=7500,0.05,0.18)))-IF(AND(N5&gt;7500,O5&gt;7500),N5/1.18,N5),(O5-IF(AND(N5&gt;7500,O5&gt;7500),N5/1.18,N5))/(1+IF(O5&lt;=1000,0,IF(O5&lt;=7500,0.05,0.18)))))/(IF(AND(N5&gt;7500,O5&gt;7500),N5/1.18,N5)))</f>
        <v>0.300437926469091</v>
      </c>
      <c r="R5" s="15" t="n">
        <f aca="false">IF(OR(N5="",O5=""),"",((O5-N5)/1.18)/N5)</f>
        <v>0.267338832875038</v>
      </c>
      <c r="S5" s="15" t="n">
        <f aca="false">IF(OR(P5="",O5=""),"",(P5-O5)/O5)</f>
        <v>1.88629659737545</v>
      </c>
      <c r="T5" s="9" t="str">
        <f aca="false">IF(AND(D5="",G5&lt;&gt;""),"no dates - assumed 1 night",IF(Q5="","",IF(Q5&gt;1.5,"check: markup &gt;150%",IF(Q5&lt;0,"below cost",""))))</f>
        <v/>
      </c>
    </row>
    <row r="6" customFormat="false" ht="15" hidden="false" customHeight="false" outlineLevel="0" collapsed="false">
      <c r="A6" s="9" t="s">
        <v>18</v>
      </c>
      <c r="B6" s="9" t="s">
        <v>265</v>
      </c>
      <c r="C6" s="9" t="s">
        <v>44</v>
      </c>
      <c r="D6" s="10" t="s">
        <v>48</v>
      </c>
      <c r="E6" s="10" t="s">
        <v>250</v>
      </c>
      <c r="F6" s="9" t="n">
        <f aca="false">IF(OR(D6="",E6=""),1,MAX(1,DATEVALUE(E6)-DATEVALUE(D6)))</f>
        <v>4</v>
      </c>
      <c r="G6" s="11" t="n">
        <v>99959</v>
      </c>
      <c r="H6" s="11" t="n">
        <v>141705</v>
      </c>
      <c r="I6" s="11"/>
      <c r="J6" s="11"/>
      <c r="K6" s="11"/>
      <c r="L6" s="12" t="n">
        <v>1505.86</v>
      </c>
      <c r="M6" s="13"/>
      <c r="N6" s="14" t="n">
        <f aca="false">IF(G6="","",G6/F6)</f>
        <v>24989.75</v>
      </c>
      <c r="O6" s="14" t="n">
        <f aca="false">IF(COUNT(H6:K6)=0,"",MIN(H6:K6)/F6)</f>
        <v>35426.25</v>
      </c>
      <c r="P6" s="14" t="n">
        <f aca="false">IF(L6="","",L6*95/F6)</f>
        <v>35764.175</v>
      </c>
      <c r="Q6" s="15" t="n">
        <f aca="false">IF(OR(N6="",O6=""),"",(IF(AND(N6&gt;7500,O6&gt;7500),O6/(1+IF(O6&lt;=1000,0,IF(O6&lt;=7500,0.05,0.18)))-IF(AND(N6&gt;7500,O6&gt;7500),N6/1.18,N6),(O6-IF(AND(N6&gt;7500,O6&gt;7500),N6/1.18,N6))/(1+IF(O6&lt;=1000,0,IF(O6&lt;=7500,0.05,0.18)))))/(IF(AND(N6&gt;7500,O6&gt;7500),N6/1.18,N6)))</f>
        <v>0.41763122880381</v>
      </c>
      <c r="R6" s="15" t="n">
        <f aca="false">IF(OR(N6="",O6=""),"",((O6-N6)/1.18)/N6)</f>
        <v>0.35392477017272</v>
      </c>
      <c r="S6" s="15" t="n">
        <f aca="false">IF(OR(P6="",O6=""),"",(P6-O6)/O6)</f>
        <v>0.00953883066934817</v>
      </c>
      <c r="T6" s="9" t="str">
        <f aca="false">IF(AND(D6="",G6&lt;&gt;""),"no dates - assumed 1 night",IF(Q6="","",IF(Q6&gt;1.5,"check: markup &gt;150%",IF(Q6&lt;0,"below cost",""))))</f>
        <v/>
      </c>
    </row>
    <row r="7" customFormat="false" ht="15" hidden="false" customHeight="false" outlineLevel="0" collapsed="false">
      <c r="A7" s="9" t="s">
        <v>18</v>
      </c>
      <c r="B7" s="9" t="s">
        <v>265</v>
      </c>
      <c r="C7" s="9" t="s">
        <v>47</v>
      </c>
      <c r="D7" s="10" t="s">
        <v>252</v>
      </c>
      <c r="E7" s="10" t="s">
        <v>253</v>
      </c>
      <c r="F7" s="9" t="n">
        <f aca="false">IF(OR(D7="",E7=""),1,MAX(1,DATEVALUE(E7)-DATEVALUE(D7)))</f>
        <v>5</v>
      </c>
      <c r="G7" s="11" t="n">
        <v>115316</v>
      </c>
      <c r="H7" s="11" t="n">
        <v>165924</v>
      </c>
      <c r="I7" s="11"/>
      <c r="J7" s="11"/>
      <c r="K7" s="11"/>
      <c r="L7" s="12" t="n">
        <v>2444.34</v>
      </c>
      <c r="M7" s="13" t="n">
        <v>0.29</v>
      </c>
      <c r="N7" s="14" t="n">
        <f aca="false">IF(G7="","",G7/F7)</f>
        <v>23063.2</v>
      </c>
      <c r="O7" s="14" t="n">
        <f aca="false">IF(COUNT(H7:K7)=0,"",MIN(H7:K7)/F7)</f>
        <v>33184.8</v>
      </c>
      <c r="P7" s="14" t="n">
        <f aca="false">IF(L7="","",L7*95/F7)</f>
        <v>46442.46</v>
      </c>
      <c r="Q7" s="15" t="n">
        <f aca="false">IF(OR(N7="",O7=""),"",(IF(AND(N7&gt;7500,O7&gt;7500),O7/(1+IF(O7&lt;=1000,0,IF(O7&lt;=7500,0.05,0.18)))-IF(AND(N7&gt;7500,O7&gt;7500),N7/1.18,N7),(O7-IF(AND(N7&gt;7500,O7&gt;7500),N7/1.18,N7))/(1+IF(O7&lt;=1000,0,IF(O7&lt;=7500,0.05,0.18)))))/(IF(AND(N7&gt;7500,O7&gt;7500),N7/1.18,N7)))</f>
        <v>0.438863644247112</v>
      </c>
      <c r="R7" s="15" t="n">
        <f aca="false">IF(OR(N7="",O7=""),"",((O7-N7)/1.18)/N7)</f>
        <v>0.371918342582299</v>
      </c>
      <c r="S7" s="15" t="n">
        <f aca="false">IF(OR(P7="",O7=""),"",(P7-O7)/O7)</f>
        <v>0.399510016634122</v>
      </c>
      <c r="T7" s="9" t="str">
        <f aca="false">IF(AND(D7="",G7&lt;&gt;""),"no dates - assumed 1 night",IF(Q7="","",IF(Q7&gt;1.5,"check: markup &gt;150%",IF(Q7&lt;0,"below cost",""))))</f>
        <v/>
      </c>
    </row>
    <row r="8" customFormat="false" ht="15" hidden="false" customHeight="false" outlineLevel="0" collapsed="false">
      <c r="A8" s="9" t="s">
        <v>18</v>
      </c>
      <c r="B8" s="9" t="s">
        <v>266</v>
      </c>
      <c r="C8" s="9" t="s">
        <v>44</v>
      </c>
      <c r="D8" s="10" t="s">
        <v>260</v>
      </c>
      <c r="E8" s="10" t="s">
        <v>261</v>
      </c>
      <c r="F8" s="9" t="n">
        <f aca="false">IF(OR(D8="",E8=""),1,MAX(1,DATEVALUE(E8)-DATEVALUE(D8)))</f>
        <v>3</v>
      </c>
      <c r="G8" s="11" t="n">
        <v>27255</v>
      </c>
      <c r="H8" s="11" t="n">
        <v>35804</v>
      </c>
      <c r="I8" s="11"/>
      <c r="J8" s="11"/>
      <c r="K8" s="11"/>
      <c r="L8" s="12" t="n">
        <v>544.21</v>
      </c>
      <c r="M8" s="13" t="n">
        <v>0.33</v>
      </c>
      <c r="N8" s="14" t="n">
        <f aca="false">IF(G8="","",G8/F8)</f>
        <v>9085</v>
      </c>
      <c r="O8" s="14" t="n">
        <f aca="false">IF(COUNT(H8:K8)=0,"",MIN(H8:K8)/F8)</f>
        <v>11934.6666666667</v>
      </c>
      <c r="P8" s="14" t="n">
        <f aca="false">IF(L8="","",L8*95/F8)</f>
        <v>17233.3166666667</v>
      </c>
      <c r="Q8" s="15" t="n">
        <f aca="false">IF(OR(N8="",O8=""),"",(IF(AND(N8&gt;7500,O8&gt;7500),O8/(1+IF(O8&lt;=1000,0,IF(O8&lt;=7500,0.05,0.18)))-IF(AND(N8&gt;7500,O8&gt;7500),N8/1.18,N8),(O8-IF(AND(N8&gt;7500,O8&gt;7500),N8/1.18,N8))/(1+IF(O8&lt;=1000,0,IF(O8&lt;=7500,0.05,0.18)))))/(IF(AND(N8&gt;7500,O8&gt;7500),N8/1.18,N8)))</f>
        <v>0.313667217024399</v>
      </c>
      <c r="R8" s="15" t="n">
        <f aca="false">IF(OR(N8="",O8=""),"",((O8-N8)/1.18)/N8)</f>
        <v>0.265819675444406</v>
      </c>
      <c r="S8" s="15" t="n">
        <f aca="false">IF(OR(P8="",O8=""),"",(P8-O8)/O8)</f>
        <v>0.443971343983913</v>
      </c>
      <c r="T8" s="9" t="str">
        <f aca="false">IF(AND(D8="",G8&lt;&gt;""),"no dates - assumed 1 night",IF(Q8="","",IF(Q8&gt;1.5,"check: markup &gt;150%",IF(Q8&lt;0,"below cost",""))))</f>
        <v/>
      </c>
    </row>
    <row r="9" customFormat="false" ht="15" hidden="false" customHeight="false" outlineLevel="0" collapsed="false">
      <c r="A9" s="9" t="s">
        <v>18</v>
      </c>
      <c r="B9" s="9" t="s">
        <v>266</v>
      </c>
      <c r="C9" s="9" t="s">
        <v>47</v>
      </c>
      <c r="D9" s="10" t="s">
        <v>267</v>
      </c>
      <c r="E9" s="10" t="s">
        <v>184</v>
      </c>
      <c r="F9" s="9" t="n">
        <f aca="false">IF(OR(D9="",E9=""),1,MAX(1,DATEVALUE(E9)-DATEVALUE(D9)))</f>
        <v>5</v>
      </c>
      <c r="G9" s="11" t="n">
        <v>83783</v>
      </c>
      <c r="H9" s="11" t="n">
        <v>123349</v>
      </c>
      <c r="I9" s="11"/>
      <c r="J9" s="11"/>
      <c r="K9" s="11"/>
      <c r="L9" s="12" t="n">
        <v>1294.36</v>
      </c>
      <c r="M9" s="13" t="n">
        <v>0.25</v>
      </c>
      <c r="N9" s="14" t="n">
        <f aca="false">IF(G9="","",G9/F9)</f>
        <v>16756.6</v>
      </c>
      <c r="O9" s="14" t="n">
        <f aca="false">IF(COUNT(H9:K9)=0,"",MIN(H9:K9)/F9)</f>
        <v>24669.8</v>
      </c>
      <c r="P9" s="14" t="n">
        <f aca="false">IF(L9="","",L9*95/F9)</f>
        <v>24592.84</v>
      </c>
      <c r="Q9" s="15" t="n">
        <f aca="false">IF(OR(N9="",O9=""),"",(IF(AND(N9&gt;7500,O9&gt;7500),O9/(1+IF(O9&lt;=1000,0,IF(O9&lt;=7500,0.05,0.18)))-IF(AND(N9&gt;7500,O9&gt;7500),N9/1.18,N9),(O9-IF(AND(N9&gt;7500,O9&gt;7500),N9/1.18,N9))/(1+IF(O9&lt;=1000,0,IF(O9&lt;=7500,0.05,0.18)))))/(IF(AND(N9&gt;7500,O9&gt;7500),N9/1.18,N9)))</f>
        <v>0.472243772603034</v>
      </c>
      <c r="R9" s="15" t="n">
        <f aca="false">IF(OR(N9="",O9=""),"",((O9-N9)/1.18)/N9)</f>
        <v>0.400206586951724</v>
      </c>
      <c r="S9" s="15" t="n">
        <f aca="false">IF(OR(P9="",O9=""),"",(P9-O9)/O9)</f>
        <v>-0.00311960372601315</v>
      </c>
      <c r="T9" s="9" t="str">
        <f aca="false">IF(AND(D9="",G9&lt;&gt;""),"no dates - assumed 1 night",IF(Q9="","",IF(Q9&gt;1.5,"check: markup &gt;150%",IF(Q9&lt;0,"below cost",""))))</f>
        <v/>
      </c>
    </row>
    <row r="10" customFormat="false" ht="15" hidden="false" customHeight="false" outlineLevel="0" collapsed="false">
      <c r="A10" s="9" t="s">
        <v>18</v>
      </c>
      <c r="B10" s="9" t="s">
        <v>266</v>
      </c>
      <c r="C10" s="9" t="s">
        <v>50</v>
      </c>
      <c r="D10" s="10" t="s">
        <v>200</v>
      </c>
      <c r="E10" s="10" t="s">
        <v>130</v>
      </c>
      <c r="F10" s="9" t="n">
        <f aca="false">IF(OR(D10="",E10=""),1,MAX(1,DATEVALUE(E10)-DATEVALUE(D10)))</f>
        <v>5</v>
      </c>
      <c r="G10" s="11" t="n">
        <v>90685</v>
      </c>
      <c r="H10" s="11" t="n">
        <v>183726</v>
      </c>
      <c r="I10" s="11"/>
      <c r="J10" s="11"/>
      <c r="K10" s="11"/>
      <c r="L10" s="12" t="n">
        <v>1940.73</v>
      </c>
      <c r="M10" s="13" t="n">
        <v>0.33</v>
      </c>
      <c r="N10" s="14" t="n">
        <f aca="false">IF(G10="","",G10/F10)</f>
        <v>18137</v>
      </c>
      <c r="O10" s="14" t="n">
        <f aca="false">IF(COUNT(H10:K10)=0,"",MIN(H10:K10)/F10)</f>
        <v>36745.2</v>
      </c>
      <c r="P10" s="14" t="n">
        <f aca="false">IF(L10="","",L10*95/F10)</f>
        <v>36873.87</v>
      </c>
      <c r="Q10" s="15" t="n">
        <f aca="false">IF(OR(N10="",O10=""),"",(IF(AND(N10&gt;7500,O10&gt;7500),O10/(1+IF(O10&lt;=1000,0,IF(O10&lt;=7500,0.05,0.18)))-IF(AND(N10&gt;7500,O10&gt;7500),N10/1.18,N10),(O10-IF(AND(N10&gt;7500,O10&gt;7500),N10/1.18,N10))/(1+IF(O10&lt;=1000,0,IF(O10&lt;=7500,0.05,0.18)))))/(IF(AND(N10&gt;7500,O10&gt;7500),N10/1.18,N10)))</f>
        <v>1.02598004080057</v>
      </c>
      <c r="R10" s="15" t="n">
        <f aca="false">IF(OR(N10="",O10=""),"",((O10-N10)/1.18)/N10)</f>
        <v>0.869474610847943</v>
      </c>
      <c r="S10" s="15" t="n">
        <f aca="false">IF(OR(P10="",O10=""),"",(P10-O10)/O10)</f>
        <v>0.00350168185232372</v>
      </c>
      <c r="T10" s="9" t="str">
        <f aca="false">IF(AND(D10="",G10&lt;&gt;""),"no dates - assumed 1 night",IF(Q10="","",IF(Q10&gt;1.5,"check: markup &gt;150%",IF(Q10&lt;0,"below cost",""))))</f>
        <v/>
      </c>
    </row>
    <row r="11" customFormat="false" ht="15" hidden="false" customHeight="false" outlineLevel="0" collapsed="false">
      <c r="A11" s="9" t="s">
        <v>18</v>
      </c>
      <c r="B11" s="9" t="s">
        <v>266</v>
      </c>
      <c r="C11" s="9" t="s">
        <v>54</v>
      </c>
      <c r="D11" s="10" t="s">
        <v>268</v>
      </c>
      <c r="E11" s="10" t="s">
        <v>269</v>
      </c>
      <c r="F11" s="9" t="n">
        <f aca="false">IF(OR(D11="",E11=""),1,MAX(1,DATEVALUE(E11)-DATEVALUE(D11)))</f>
        <v>4</v>
      </c>
      <c r="G11" s="11" t="n">
        <v>50258</v>
      </c>
      <c r="H11" s="11" t="n">
        <v>73531</v>
      </c>
      <c r="I11" s="11"/>
      <c r="J11" s="11"/>
      <c r="K11" s="11"/>
      <c r="L11" s="12" t="n">
        <v>785.15</v>
      </c>
      <c r="M11" s="13" t="n">
        <v>0.25</v>
      </c>
      <c r="N11" s="14" t="n">
        <f aca="false">IF(G11="","",G11/F11)</f>
        <v>12564.5</v>
      </c>
      <c r="O11" s="14" t="n">
        <f aca="false">IF(COUNT(H11:K11)=0,"",MIN(H11:K11)/F11)</f>
        <v>18382.75</v>
      </c>
      <c r="P11" s="14" t="n">
        <f aca="false">IF(L11="","",L11*95/F11)</f>
        <v>18647.3125</v>
      </c>
      <c r="Q11" s="15" t="n">
        <f aca="false">IF(OR(N11="",O11=""),"",(IF(AND(N11&gt;7500,O11&gt;7500),O11/(1+IF(O11&lt;=1000,0,IF(O11&lt;=7500,0.05,0.18)))-IF(AND(N11&gt;7500,O11&gt;7500),N11/1.18,N11),(O11-IF(AND(N11&gt;7500,O11&gt;7500),N11/1.18,N11))/(1+IF(O11&lt;=1000,0,IF(O11&lt;=7500,0.05,0.18)))))/(IF(AND(N11&gt;7500,O11&gt;7500),N11/1.18,N11)))</f>
        <v>0.463070555931394</v>
      </c>
      <c r="R11" s="15" t="n">
        <f aca="false">IF(OR(N11="",O11=""),"",((O11-N11)/1.18)/N11)</f>
        <v>0.392432674518131</v>
      </c>
      <c r="S11" s="15" t="n">
        <f aca="false">IF(OR(P11="",O11=""),"",(P11-O11)/O11)</f>
        <v>0.0143918891351947</v>
      </c>
      <c r="T11" s="9" t="str">
        <f aca="false">IF(AND(D11="",G11&lt;&gt;""),"no dates - assumed 1 night",IF(Q11="","",IF(Q11&gt;1.5,"check: markup &gt;150%",IF(Q11&lt;0,"below cost",""))))</f>
        <v/>
      </c>
    </row>
    <row r="12" customFormat="false" ht="15" hidden="false" customHeight="false" outlineLevel="0" collapsed="false">
      <c r="A12" s="9" t="s">
        <v>18</v>
      </c>
      <c r="B12" s="9" t="s">
        <v>270</v>
      </c>
      <c r="C12" s="9" t="s">
        <v>47</v>
      </c>
      <c r="D12" s="10" t="s">
        <v>252</v>
      </c>
      <c r="E12" s="10" t="s">
        <v>253</v>
      </c>
      <c r="F12" s="9" t="n">
        <f aca="false">IF(OR(D12="",E12=""),1,MAX(1,DATEVALUE(E12)-DATEVALUE(D12)))</f>
        <v>5</v>
      </c>
      <c r="G12" s="11" t="n">
        <v>78609</v>
      </c>
      <c r="H12" s="11" t="n">
        <v>107978</v>
      </c>
      <c r="I12" s="11"/>
      <c r="J12" s="11"/>
      <c r="K12" s="11"/>
      <c r="L12" s="12" t="n">
        <v>1321</v>
      </c>
      <c r="M12" s="13" t="n">
        <v>0.24</v>
      </c>
      <c r="N12" s="14" t="n">
        <f aca="false">IF(G12="","",G12/F12)</f>
        <v>15721.8</v>
      </c>
      <c r="O12" s="14" t="n">
        <f aca="false">IF(COUNT(H12:K12)=0,"",MIN(H12:K12)/F12)</f>
        <v>21595.6</v>
      </c>
      <c r="P12" s="14" t="n">
        <f aca="false">IF(L12="","",L12*95/F12)</f>
        <v>25099</v>
      </c>
      <c r="Q12" s="15" t="n">
        <f aca="false">IF(OR(N12="",O12=""),"",(IF(AND(N12&gt;7500,O12&gt;7500),O12/(1+IF(O12&lt;=1000,0,IF(O12&lt;=7500,0.05,0.18)))-IF(AND(N12&gt;7500,O12&gt;7500),N12/1.18,N12),(O12-IF(AND(N12&gt;7500,O12&gt;7500),N12/1.18,N12))/(1+IF(O12&lt;=1000,0,IF(O12&lt;=7500,0.05,0.18)))))/(IF(AND(N12&gt;7500,O12&gt;7500),N12/1.18,N12)))</f>
        <v>0.373608619878131</v>
      </c>
      <c r="R12" s="15" t="n">
        <f aca="false">IF(OR(N12="",O12=""),"",((O12-N12)/1.18)/N12)</f>
        <v>0.316617474472992</v>
      </c>
      <c r="S12" s="15" t="n">
        <f aca="false">IF(OR(P12="",O12=""),"",(P12-O12)/O12)</f>
        <v>0.16222749078516</v>
      </c>
      <c r="T12" s="9" t="str">
        <f aca="false">IF(AND(D12="",G12&lt;&gt;""),"no dates - assumed 1 night",IF(Q12="","",IF(Q12&gt;1.5,"check: markup &gt;150%",IF(Q12&lt;0,"below cost",""))))</f>
        <v/>
      </c>
    </row>
    <row r="13" customFormat="false" ht="15" hidden="false" customHeight="false" outlineLevel="0" collapsed="false">
      <c r="A13" s="9" t="s">
        <v>18</v>
      </c>
      <c r="B13" s="9" t="s">
        <v>270</v>
      </c>
      <c r="C13" s="9" t="s">
        <v>50</v>
      </c>
      <c r="D13" s="10" t="s">
        <v>247</v>
      </c>
      <c r="E13" s="10" t="s">
        <v>271</v>
      </c>
      <c r="F13" s="9" t="n">
        <f aca="false">IF(OR(D13="",E13=""),1,MAX(1,DATEVALUE(E13)-DATEVALUE(D13)))</f>
        <v>5</v>
      </c>
      <c r="G13" s="11" t="n">
        <v>81945</v>
      </c>
      <c r="H13" s="11" t="n">
        <v>99219</v>
      </c>
      <c r="I13" s="11"/>
      <c r="J13" s="11"/>
      <c r="K13" s="11"/>
      <c r="L13" s="12" t="n">
        <v>1210.26</v>
      </c>
      <c r="M13" s="13" t="n">
        <v>0.22</v>
      </c>
      <c r="N13" s="14" t="n">
        <f aca="false">IF(G13="","",G13/F13)</f>
        <v>16389</v>
      </c>
      <c r="O13" s="14" t="n">
        <f aca="false">IF(COUNT(H13:K13)=0,"",MIN(H13:K13)/F13)</f>
        <v>19843.8</v>
      </c>
      <c r="P13" s="14" t="n">
        <f aca="false">IF(L13="","",L13*95/F13)</f>
        <v>22994.94</v>
      </c>
      <c r="Q13" s="15" t="n">
        <f aca="false">IF(OR(N13="",O13=""),"",(IF(AND(N13&gt;7500,O13&gt;7500),O13/(1+IF(O13&lt;=1000,0,IF(O13&lt;=7500,0.05,0.18)))-IF(AND(N13&gt;7500,O13&gt;7500),N13/1.18,N13),(O13-IF(AND(N13&gt;7500,O13&gt;7500),N13/1.18,N13))/(1+IF(O13&lt;=1000,0,IF(O13&lt;=7500,0.05,0.18)))))/(IF(AND(N13&gt;7500,O13&gt;7500),N13/1.18,N13)))</f>
        <v>0.210799926780157</v>
      </c>
      <c r="R13" s="15" t="n">
        <f aca="false">IF(OR(N13="",O13=""),"",((O13-N13)/1.18)/N13)</f>
        <v>0.178644005745896</v>
      </c>
      <c r="S13" s="15" t="n">
        <f aca="false">IF(OR(P13="",O13=""),"",(P13-O13)/O13)</f>
        <v>0.158797206180268</v>
      </c>
      <c r="T13" s="9" t="str">
        <f aca="false">IF(AND(D13="",G13&lt;&gt;""),"no dates - assumed 1 night",IF(Q13="","",IF(Q13&gt;1.5,"check: markup &gt;150%",IF(Q13&lt;0,"below cost",""))))</f>
        <v/>
      </c>
    </row>
    <row r="14" customFormat="false" ht="15" hidden="false" customHeight="false" outlineLevel="0" collapsed="false">
      <c r="A14" s="9" t="s">
        <v>18</v>
      </c>
      <c r="B14" s="9" t="s">
        <v>272</v>
      </c>
      <c r="C14" s="9" t="s">
        <v>44</v>
      </c>
      <c r="D14" s="10" t="s">
        <v>260</v>
      </c>
      <c r="E14" s="10" t="s">
        <v>261</v>
      </c>
      <c r="F14" s="9" t="n">
        <f aca="false">IF(OR(D14="",E14=""),1,MAX(1,DATEVALUE(E14)-DATEVALUE(D14)))</f>
        <v>3</v>
      </c>
      <c r="G14" s="11" t="n">
        <v>64925</v>
      </c>
      <c r="H14" s="11" t="n">
        <v>84221</v>
      </c>
      <c r="I14" s="11"/>
      <c r="J14" s="11"/>
      <c r="K14" s="11"/>
      <c r="L14" s="12" t="n">
        <v>889.82</v>
      </c>
      <c r="M14" s="13" t="n">
        <v>0.12</v>
      </c>
      <c r="N14" s="14" t="n">
        <f aca="false">IF(G14="","",G14/F14)</f>
        <v>21641.6666666667</v>
      </c>
      <c r="O14" s="14" t="n">
        <f aca="false">IF(COUNT(H14:K14)=0,"",MIN(H14:K14)/F14)</f>
        <v>28073.6666666667</v>
      </c>
      <c r="P14" s="14" t="n">
        <f aca="false">IF(L14="","",L14*95/F14)</f>
        <v>28177.6333333333</v>
      </c>
      <c r="Q14" s="15" t="n">
        <f aca="false">IF(OR(N14="",O14=""),"",(IF(AND(N14&gt;7500,O14&gt;7500),O14/(1+IF(O14&lt;=1000,0,IF(O14&lt;=7500,0.05,0.18)))-IF(AND(N14&gt;7500,O14&gt;7500),N14/1.18,N14),(O14-IF(AND(N14&gt;7500,O14&gt;7500),N14/1.18,N14))/(1+IF(O14&lt;=1000,0,IF(O14&lt;=7500,0.05,0.18)))))/(IF(AND(N14&gt;7500,O14&gt;7500),N14/1.18,N14)))</f>
        <v>0.297204466692337</v>
      </c>
      <c r="R14" s="15" t="n">
        <f aca="false">IF(OR(N14="",O14=""),"",((O14-N14)/1.18)/N14)</f>
        <v>0.25186819211215</v>
      </c>
      <c r="S14" s="15" t="n">
        <f aca="false">IF(OR(P14="",O14=""),"",(P14-O14)/O14)</f>
        <v>0.003703351895608</v>
      </c>
      <c r="T14" s="9" t="str">
        <f aca="false">IF(AND(D14="",G14&lt;&gt;""),"no dates - assumed 1 night",IF(Q14="","",IF(Q14&gt;1.5,"check: markup &gt;150%",IF(Q14&lt;0,"below cost",""))))</f>
        <v/>
      </c>
    </row>
    <row r="15" customFormat="false" ht="15" hidden="false" customHeight="false" outlineLevel="0" collapsed="false">
      <c r="A15" s="9" t="s">
        <v>18</v>
      </c>
      <c r="B15" s="9" t="s">
        <v>273</v>
      </c>
      <c r="C15" s="9" t="s">
        <v>47</v>
      </c>
      <c r="D15" s="10" t="s">
        <v>252</v>
      </c>
      <c r="E15" s="10" t="s">
        <v>253</v>
      </c>
      <c r="F15" s="9" t="n">
        <f aca="false">IF(OR(D15="",E15=""),1,MAX(1,DATEVALUE(E15)-DATEVALUE(D15)))</f>
        <v>5</v>
      </c>
      <c r="G15" s="11" t="n">
        <v>173183</v>
      </c>
      <c r="H15" s="11" t="n">
        <v>188591</v>
      </c>
      <c r="I15" s="11"/>
      <c r="J15" s="11"/>
      <c r="K15" s="11"/>
      <c r="L15" s="12" t="n">
        <v>1952.62</v>
      </c>
      <c r="M15" s="13" t="n">
        <v>0.12</v>
      </c>
      <c r="N15" s="14" t="n">
        <f aca="false">IF(G15="","",G15/F15)</f>
        <v>34636.6</v>
      </c>
      <c r="O15" s="14" t="n">
        <f aca="false">IF(COUNT(H15:K15)=0,"",MIN(H15:K15)/F15)</f>
        <v>37718.2</v>
      </c>
      <c r="P15" s="14" t="n">
        <f aca="false">IF(L15="","",L15*95/F15)</f>
        <v>37099.78</v>
      </c>
      <c r="Q15" s="15" t="n">
        <f aca="false">IF(OR(N15="",O15=""),"",(IF(AND(N15&gt;7500,O15&gt;7500),O15/(1+IF(O15&lt;=1000,0,IF(O15&lt;=7500,0.05,0.18)))-IF(AND(N15&gt;7500,O15&gt;7500),N15/1.18,N15),(O15-IF(AND(N15&gt;7500,O15&gt;7500),N15/1.18,N15))/(1+IF(O15&lt;=1000,0,IF(O15&lt;=7500,0.05,0.18)))))/(IF(AND(N15&gt;7500,O15&gt;7500),N15/1.18,N15)))</f>
        <v>0.0889694715994064</v>
      </c>
      <c r="R15" s="15" t="n">
        <f aca="false">IF(OR(N15="",O15=""),"",((O15-N15)/1.18)/N15)</f>
        <v>0.0753978572876325</v>
      </c>
      <c r="S15" s="15" t="n">
        <f aca="false">IF(OR(P15="",O15=""),"",(P15-O15)/O15)</f>
        <v>-0.0163957983148718</v>
      </c>
      <c r="T15" s="9" t="str">
        <f aca="false">IF(AND(D15="",G15&lt;&gt;""),"no dates - assumed 1 night",IF(Q15="","",IF(Q15&gt;1.5,"check: markup &gt;150%",IF(Q15&lt;0,"below cost",""))))</f>
        <v/>
      </c>
    </row>
    <row r="16" customFormat="false" ht="15" hidden="false" customHeight="false" outlineLevel="0" collapsed="false">
      <c r="A16" s="9" t="s">
        <v>18</v>
      </c>
      <c r="B16" s="9" t="s">
        <v>274</v>
      </c>
      <c r="C16" s="9" t="s">
        <v>47</v>
      </c>
      <c r="D16" s="10" t="s">
        <v>252</v>
      </c>
      <c r="E16" s="10" t="s">
        <v>253</v>
      </c>
      <c r="F16" s="9" t="n">
        <f aca="false">IF(OR(D16="",E16=""),1,MAX(1,DATEVALUE(E16)-DATEVALUE(D16)))</f>
        <v>5</v>
      </c>
      <c r="G16" s="11" t="n">
        <v>117633</v>
      </c>
      <c r="H16" s="11" t="n">
        <v>121562</v>
      </c>
      <c r="I16" s="11"/>
      <c r="J16" s="11"/>
      <c r="K16" s="11"/>
      <c r="L16" s="12" t="n">
        <v>1991.93</v>
      </c>
      <c r="M16" s="13" t="n">
        <v>0.27</v>
      </c>
      <c r="N16" s="14" t="n">
        <f aca="false">IF(G16="","",G16/F16)</f>
        <v>23526.6</v>
      </c>
      <c r="O16" s="14" t="n">
        <f aca="false">IF(COUNT(H16:K16)=0,"",MIN(H16:K16)/F16)</f>
        <v>24312.4</v>
      </c>
      <c r="P16" s="14" t="n">
        <f aca="false">IF(L16="","",L16*95/F16)</f>
        <v>37846.67</v>
      </c>
      <c r="Q16" s="15" t="n">
        <f aca="false">IF(OR(N16="",O16=""),"",(IF(AND(N16&gt;7500,O16&gt;7500),O16/(1+IF(O16&lt;=1000,0,IF(O16&lt;=7500,0.05,0.18)))-IF(AND(N16&gt;7500,O16&gt;7500),N16/1.18,N16),(O16-IF(AND(N16&gt;7500,O16&gt;7500),N16/1.18,N16))/(1+IF(O16&lt;=1000,0,IF(O16&lt;=7500,0.05,0.18)))))/(IF(AND(N16&gt;7500,O16&gt;7500),N16/1.18,N16)))</f>
        <v>0.0334004913587174</v>
      </c>
      <c r="R16" s="15" t="n">
        <f aca="false">IF(OR(N16="",O16=""),"",((O16-N16)/1.18)/N16)</f>
        <v>0.0283055011514555</v>
      </c>
      <c r="S16" s="15" t="n">
        <f aca="false">IF(OR(P16="",O16=""),"",(P16-O16)/O16)</f>
        <v>0.556681775554861</v>
      </c>
      <c r="T16" s="9" t="str">
        <f aca="false">IF(AND(D16="",G16&lt;&gt;""),"no dates - assumed 1 night",IF(Q16="","",IF(Q16&gt;1.5,"check: markup &gt;150%",IF(Q16&lt;0,"below cost",""))))</f>
        <v/>
      </c>
    </row>
    <row r="18" customFormat="false" ht="15" hidden="false" customHeight="false" outlineLevel="0" collapsed="false">
      <c r="A18" s="2" t="s">
        <v>86</v>
      </c>
    </row>
  </sheetData>
  <autoFilter ref="A1:T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11" min="7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9" min="17" style="0" width="10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8" t="s">
        <v>2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3" customFormat="false" ht="15" hidden="false" customHeight="false" outlineLevel="0" collapsed="false">
      <c r="A3" s="2" t="s">
        <v>86</v>
      </c>
    </row>
  </sheetData>
  <autoFilter ref="A1:T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2026-08-13T18:38:05Z</dcterms:created>
  <dc:creator>openpyxl</dc:creator>
  <dc:description/>
  <dc:language>en-US</dc:language>
  <cp:lastModifiedBy/>
  <dcterms:modified xsi:type="dcterms:W3CDTF">2026-08-13T18:38:05Z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